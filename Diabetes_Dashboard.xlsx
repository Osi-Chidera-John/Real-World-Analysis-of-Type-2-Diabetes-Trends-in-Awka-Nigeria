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781419EB-8EFE-4B80-A929-2596E148E2F0}" xr6:coauthVersionLast="47" xr6:coauthVersionMax="47" xr10:uidLastSave="{00000000-0000-0000-0000-000000000000}"/>
  <bookViews>
    <workbookView xWindow="-110" yWindow="-110" windowWidth="19420" windowHeight="10300" xr2:uid="{00000000-000D-0000-FFFF-FFFF00000000}"/>
  </bookViews>
  <sheets>
    <sheet name="Diagnosis_dataset " sheetId="2" r:id="rId1"/>
    <sheet name="Report" sheetId="4" state="hidden" r:id="rId2"/>
    <sheet name="Dashboard" sheetId="5" r:id="rId3"/>
  </sheets>
  <definedNames>
    <definedName name="_xlnm._FilterDatabase" localSheetId="0" hidden="1">'Diagnosis_dataset '!$A$1:$H$1588</definedName>
    <definedName name="_xlcn.WorksheetConnection_flawed_health_dataset.xlsxHealth_Data1" hidden="1">Health_Data[]</definedName>
    <definedName name="Slicer_Age_Group">#N/A</definedName>
    <definedName name="Slicer_Diagnosis">#N/A</definedName>
    <definedName name="Slicer_Visit_Date__Year">#N/A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ealth_Data" name="Health_Data" connection="WorksheetConnection_flawed_health_dataset.xlsx!Health_Data"/>
        </x15:modelTables>
        <x15:extLst>
          <ext xmlns:x16="http://schemas.microsoft.com/office/spreadsheetml/2014/11/main" uri="{9835A34E-60A6-4A7C-AAB8-D5F71C897F49}">
            <x16:modelTimeGroupings>
              <x16:modelTimeGrouping tableName="Health_Data" columnName="Visit_Date" columnId="Visit_Date">
                <x16:calculatedTimeColumn columnName="Visit_Date (Year)" columnId="Visit_Date (Year)" contentType="years" isSelected="1"/>
                <x16:calculatedTimeColumn columnName="Visit_Date (Quarter)" columnId="Visit_Date (Quarter)" contentType="quarters" isSelected="1"/>
                <x16:calculatedTimeColumn columnName="Visit_Date (Month Index)" columnId="Visit_Date (Month Index)" contentType="monthsindex" isSelected="1"/>
                <x16:calculatedTimeColumn columnName="Visit_Date (Month)" columnId="Visi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2" i="2"/>
  <c r="D31" i="4"/>
  <c r="D7" i="5" s="1"/>
  <c r="E32" i="4"/>
  <c r="G10" i="5" s="1"/>
  <c r="E31" i="4"/>
  <c r="G7" i="5" s="1"/>
  <c r="D32" i="4"/>
  <c r="D10" i="5" s="1"/>
  <c r="E24" i="4"/>
  <c r="K9" i="5" s="1"/>
  <c r="F24" i="4"/>
  <c r="M9" i="5" s="1"/>
  <c r="E25" i="4"/>
  <c r="K10" i="5" s="1"/>
  <c r="F25" i="4"/>
  <c r="M10" i="5" s="1"/>
  <c r="E26" i="4"/>
  <c r="K11" i="5" s="1"/>
  <c r="F26" i="4"/>
  <c r="M11" i="5" s="1"/>
  <c r="F22" i="4"/>
  <c r="M7" i="5" s="1"/>
  <c r="F23" i="4"/>
  <c r="M8" i="5" s="1"/>
  <c r="E23" i="4"/>
  <c r="K8" i="5" s="1"/>
  <c r="E22" i="4"/>
  <c r="K7"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37AC5C-BC88-4CD4-97FB-B61788F4C5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flawed_health_dataset.xlsx!Health_Data" type="102" refreshedVersion="8" minRefreshableVersion="5">
    <extLst>
      <ext xmlns:x15="http://schemas.microsoft.com/office/spreadsheetml/2010/11/main" uri="{DE250136-89BD-433C-8126-D09CA5730AF9}">
        <x15:connection id="Health_Data" autoDelete="1">
          <x15:rangePr sourceName="_xlcn.WorksheetConnection_flawed_health_dataset.xlsxHealth_Data1"/>
        </x15:connection>
      </ext>
    </extLst>
  </connection>
</connections>
</file>

<file path=xl/sharedStrings.xml><?xml version="1.0" encoding="utf-8"?>
<sst xmlns="http://schemas.openxmlformats.org/spreadsheetml/2006/main" count="3218" uniqueCount="36">
  <si>
    <t>Diabetes</t>
  </si>
  <si>
    <t>Malaria</t>
  </si>
  <si>
    <t>Flu</t>
  </si>
  <si>
    <t>Male</t>
  </si>
  <si>
    <t>Asthma</t>
  </si>
  <si>
    <t>Female</t>
  </si>
  <si>
    <t>Hypertension</t>
  </si>
  <si>
    <t>Patient_ID</t>
  </si>
  <si>
    <t>Age</t>
  </si>
  <si>
    <t>Gender</t>
  </si>
  <si>
    <t>Diagnosis</t>
  </si>
  <si>
    <t>Visit_Date</t>
  </si>
  <si>
    <t>Treatment_Cost</t>
  </si>
  <si>
    <t>Length_of_Stay_Days</t>
  </si>
  <si>
    <t>Age_Group</t>
  </si>
  <si>
    <t>Row Labels</t>
  </si>
  <si>
    <t>Old</t>
  </si>
  <si>
    <t>Grand Total</t>
  </si>
  <si>
    <t>Count of Diagnosis</t>
  </si>
  <si>
    <t>Average of Treatment_Cost</t>
  </si>
  <si>
    <t>Average of Length_of_Stay_Days</t>
  </si>
  <si>
    <t>Visit_Date (Year)</t>
  </si>
  <si>
    <t>2024</t>
  </si>
  <si>
    <t>Year</t>
  </si>
  <si>
    <t>Yearly Average Treatment Cost</t>
  </si>
  <si>
    <t>Treatment Cost</t>
  </si>
  <si>
    <t>Avg Stay Days</t>
  </si>
  <si>
    <t>Days</t>
  </si>
  <si>
    <t>Total Diagnosis By Gender</t>
  </si>
  <si>
    <t>Total Diagnosis By Age Group</t>
  </si>
  <si>
    <t>Total Yearly  Revenue</t>
  </si>
  <si>
    <t>Measure 1</t>
  </si>
  <si>
    <t>Sum of Treatment_Cost</t>
  </si>
  <si>
    <t>2023</t>
  </si>
  <si>
    <t>Middle Age</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</si>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</sst>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2"/>
      <color theme="0"/>
      <name val="Gill Sans MT"/>
      <family val="2"/>
      <scheme val="minor"/>
    </font>
    <font>
      <b/>
      <sz val="20"/>
      <color theme="1"/>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applyProtection="1">
      <protection locked="0"/>
    </xf>
    <xf numFmtId="0" fontId="0" fillId="0" borderId="0" xfId="0" applyProtection="1">
      <protection locked="0"/>
    </xf>
    <xf numFmtId="0" fontId="16" fillId="0" borderId="0" xfId="0" applyFont="1" applyAlignment="1" applyProtection="1">
      <alignment horizontal="center"/>
      <protection locked="0"/>
    </xf>
    <xf numFmtId="2" fontId="16" fillId="0" borderId="0" xfId="0" applyNumberFormat="1" applyFont="1" applyAlignment="1" applyProtection="1">
      <alignment horizontal="center"/>
      <protection locked="0"/>
    </xf>
    <xf numFmtId="164" fontId="0" fillId="0" borderId="0" xfId="0" applyNumberFormat="1"/>
    <xf numFmtId="0" fontId="18" fillId="33" borderId="0" xfId="0" applyFont="1" applyFill="1" applyAlignment="1" applyProtection="1">
      <alignment horizontal="center" vertical="center"/>
      <protection locked="0"/>
    </xf>
    <xf numFmtId="0" fontId="18" fillId="33" borderId="0" xfId="0" applyFont="1" applyFill="1" applyAlignment="1" applyProtection="1">
      <alignment horizontal="center"/>
      <protection locked="0"/>
    </xf>
    <xf numFmtId="0" fontId="13" fillId="34" borderId="0" xfId="0" applyFont="1" applyFill="1" applyAlignment="1" applyProtection="1">
      <alignment horizontal="center"/>
      <protection locked="0"/>
    </xf>
    <xf numFmtId="0" fontId="19" fillId="0" borderId="0" xfId="0" applyFont="1" applyAlignment="1">
      <alignment horizontal="center"/>
    </xf>
    <xf numFmtId="3" fontId="19" fillId="0" borderId="0" xfId="0" applyNumberFormat="1" applyFont="1" applyAlignment="1">
      <alignment horizontal="center"/>
    </xf>
    <xf numFmtId="0" fontId="16" fillId="0" borderId="0" xfId="0" applyFont="1" applyAlignment="1">
      <alignment horizontal="center"/>
    </xf>
    <xf numFmtId="1" fontId="16"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00"/>
    </dxf>
    <dxf>
      <numFmt numFmtId="19" formatCode="dd/mm/yyyy"/>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[flawed_health_dataset.xlsx]Report!PivotTable17</c:name>
    <c:fmtId val="1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Report!$B$36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E7-414E-BE3C-7E09719F61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E7-414E-BE3C-7E09719F61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E7-414E-BE3C-7E09719F61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Report!$A$37:$A$40</c:f>
              <c:strCache>
                <c:ptCount val="3"/>
                <c:pt idx="0">
                  <c:v>Middle Age</c:v>
                </c:pt>
                <c:pt idx="1">
                  <c:v>Old</c:v>
                </c:pt>
                <c:pt idx="2">
                  <c:v>Young</c:v>
                </c:pt>
              </c:strCache>
            </c:strRef>
          </c:cat>
          <c:val>
            <c:numRef>
              <c:f>Report!$B$37:$B$40</c:f>
              <c:numCache>
                <c:formatCode>General</c:formatCode>
                <c:ptCount val="3"/>
                <c:pt idx="0">
                  <c:v>76</c:v>
                </c:pt>
                <c:pt idx="1">
                  <c:v>165</c:v>
                </c:pt>
                <c:pt idx="2">
                  <c:v>100</c:v>
                </c:pt>
              </c:numCache>
            </c:numRef>
          </c:val>
          <c:extLst>
            <c:ext xmlns:c16="http://schemas.microsoft.com/office/drawing/2014/chart" uri="{C3380CC4-5D6E-409C-BE32-E72D297353CC}">
              <c16:uniqueId val="{00000006-1BE7-414E-BE3C-7E09719F613F}"/>
            </c:ext>
          </c:extLst>
        </c:ser>
        <c:dLbls>
          <c:showLegendKey val="0"/>
          <c:showVal val="0"/>
          <c:showCatName val="0"/>
          <c:showSerName val="0"/>
          <c:showPercent val="0"/>
          <c:showBubbleSize val="0"/>
          <c:showLeaderLines val="0"/>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[flawed_health_dataset.xlsx]Report!PivotTable1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Report!$B$43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Report!$A$44:$A$46</c:f>
              <c:strCache>
                <c:ptCount val="2"/>
                <c:pt idx="0">
                  <c:v>2023</c:v>
                </c:pt>
                <c:pt idx="1">
                  <c:v>2024</c:v>
                </c:pt>
              </c:strCache>
            </c:strRef>
          </c:cat>
          <c:val>
            <c:numRef>
              <c:f>Report!$B$44:$B$46</c:f>
              <c:numCache>
                <c:formatCode>General</c:formatCode>
                <c:ptCount val="2"/>
                <c:pt idx="0">
                  <c:v>15687306.49</c:v>
                </c:pt>
                <c:pt idx="1">
                  <c:v>1526061.67</c:v>
                </c:pt>
              </c:numCache>
            </c:numRef>
          </c:val>
          <c:extLst>
            <c:ext xmlns:c16="http://schemas.microsoft.com/office/drawing/2014/chart" uri="{C3380CC4-5D6E-409C-BE32-E72D297353CC}">
              <c16:uniqueId val="{00000000-EDF0-4481-9993-94EF527C975C}"/>
            </c:ext>
          </c:extLst>
        </c:ser>
        <c:dLbls>
          <c:showLegendKey val="0"/>
          <c:showVal val="0"/>
          <c:showCatName val="0"/>
          <c:showSerName val="0"/>
          <c:showPercent val="0"/>
          <c:showBubbleSize val="0"/>
        </c:dLbls>
        <c:gapWidth val="182"/>
        <c:axId val="297061279"/>
        <c:axId val="582461023"/>
      </c:barChart>
      <c:catAx>
        <c:axId val="29706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61023"/>
        <c:crosses val="autoZero"/>
        <c:auto val="1"/>
        <c:lblAlgn val="ctr"/>
        <c:lblOffset val="100"/>
        <c:noMultiLvlLbl val="0"/>
      </c:catAx>
      <c:valAx>
        <c:axId val="582461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[flawed_health_dataset.xlsx]Report!PivotTable2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Report!$B$49</c:f>
              <c:strCache>
                <c:ptCount val="1"/>
                <c:pt idx="0">
                  <c:v>Total</c:v>
                </c:pt>
              </c:strCache>
            </c:strRef>
          </c:tx>
          <c:spPr>
            <a:solidFill>
              <a:schemeClr val="accent1"/>
            </a:solidFill>
            <a:ln>
              <a:noFill/>
            </a:ln>
            <a:effectLst/>
          </c:spPr>
          <c:cat>
            <c:strRef>
              <c:f>Report!$A$50:$A$52</c:f>
              <c:strCache>
                <c:ptCount val="2"/>
                <c:pt idx="0">
                  <c:v>Female</c:v>
                </c:pt>
                <c:pt idx="1">
                  <c:v>Male</c:v>
                </c:pt>
              </c:strCache>
            </c:strRef>
          </c:cat>
          <c:val>
            <c:numRef>
              <c:f>Report!$B$50:$B$52</c:f>
              <c:numCache>
                <c:formatCode>General</c:formatCode>
                <c:ptCount val="2"/>
                <c:pt idx="0">
                  <c:v>165</c:v>
                </c:pt>
                <c:pt idx="1">
                  <c:v>176</c:v>
                </c:pt>
              </c:numCache>
            </c:numRef>
          </c:val>
          <c:extLst>
            <c:ext xmlns:c16="http://schemas.microsoft.com/office/drawing/2014/chart" uri="{C3380CC4-5D6E-409C-BE32-E72D297353CC}">
              <c16:uniqueId val="{00000000-55EC-49E4-AB7F-E5879EC0ECC4}"/>
            </c:ext>
          </c:extLst>
        </c:ser>
        <c:dLbls>
          <c:showLegendKey val="0"/>
          <c:showVal val="0"/>
          <c:showCatName val="0"/>
          <c:showSerName val="0"/>
          <c:showPercent val="0"/>
          <c:showBubbleSize val="0"/>
        </c:dLbls>
        <c:axId val="735397503"/>
        <c:axId val="735391679"/>
      </c:areaChart>
      <c:catAx>
        <c:axId val="73539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391679"/>
        <c:crosses val="autoZero"/>
        <c:auto val="1"/>
        <c:lblAlgn val="ctr"/>
        <c:lblOffset val="100"/>
        <c:noMultiLvlLbl val="0"/>
      </c:catAx>
      <c:valAx>
        <c:axId val="73539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3975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3</xdr:row>
      <xdr:rowOff>25400</xdr:rowOff>
    </xdr:to>
    <xdr:sp macro="" textlink="">
      <xdr:nvSpPr>
        <xdr:cNvPr id="2" name="TextBox 1">
          <a:extLst>
            <a:ext uri="{FF2B5EF4-FFF2-40B4-BE49-F238E27FC236}">
              <a16:creationId xmlns:a16="http://schemas.microsoft.com/office/drawing/2014/main" id="{A3B7AD63-C8BF-7355-25A5-FA1F3232E0C0}"/>
            </a:ext>
          </a:extLst>
        </xdr:cNvPr>
        <xdr:cNvSpPr txBox="1"/>
      </xdr:nvSpPr>
      <xdr:spPr>
        <a:xfrm>
          <a:off x="3048000" y="184150"/>
          <a:ext cx="4876800" cy="393700"/>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Health Diagnostics Analysis Dashboard</a:t>
          </a:r>
        </a:p>
      </xdr:txBody>
    </xdr:sp>
    <xdr:clientData/>
  </xdr:twoCellAnchor>
  <xdr:twoCellAnchor>
    <xdr:from>
      <xdr:col>14</xdr:col>
      <xdr:colOff>273050</xdr:colOff>
      <xdr:row>4</xdr:row>
      <xdr:rowOff>0</xdr:rowOff>
    </xdr:from>
    <xdr:to>
      <xdr:col>17</xdr:col>
      <xdr:colOff>330200</xdr:colOff>
      <xdr:row>20</xdr:row>
      <xdr:rowOff>63500</xdr:rowOff>
    </xdr:to>
    <xdr:grpSp>
      <xdr:nvGrpSpPr>
        <xdr:cNvPr id="6" name="Group 5">
          <a:extLst>
            <a:ext uri="{FF2B5EF4-FFF2-40B4-BE49-F238E27FC236}">
              <a16:creationId xmlns:a16="http://schemas.microsoft.com/office/drawing/2014/main" id="{9B4B6B79-7562-D10D-36CB-D1362249E0B8}"/>
            </a:ext>
          </a:extLst>
        </xdr:cNvPr>
        <xdr:cNvGrpSpPr/>
      </xdr:nvGrpSpPr>
      <xdr:grpSpPr>
        <a:xfrm>
          <a:off x="8807450" y="838200"/>
          <a:ext cx="1885950" cy="3467100"/>
          <a:chOff x="8851900" y="266700"/>
          <a:chExt cx="1885950" cy="3969125"/>
        </a:xfrm>
      </xdr:grpSpPr>
      <xdr:sp macro="" textlink="">
        <xdr:nvSpPr>
          <xdr:cNvPr id="3" name="Oval 2">
            <a:extLst>
              <a:ext uri="{FF2B5EF4-FFF2-40B4-BE49-F238E27FC236}">
                <a16:creationId xmlns:a16="http://schemas.microsoft.com/office/drawing/2014/main" id="{9230D441-6042-FA8C-3EC3-EC0B7AF6F45E}"/>
              </a:ext>
            </a:extLst>
          </xdr:cNvPr>
          <xdr:cNvSpPr/>
        </xdr:nvSpPr>
        <xdr:spPr>
          <a:xfrm>
            <a:off x="9048750" y="609600"/>
            <a:ext cx="1606550" cy="1441450"/>
          </a:xfrm>
          <a:prstGeom prst="ellipse">
            <a:avLst/>
          </a:prstGeom>
          <a:solidFill>
            <a:schemeClr val="bg2">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2CB6E1D9-3924-FEA6-E55B-90649D5D3DC6}"/>
              </a:ext>
            </a:extLst>
          </xdr:cNvPr>
          <xdr:cNvSpPr txBox="1"/>
        </xdr:nvSpPr>
        <xdr:spPr>
          <a:xfrm>
            <a:off x="8851900" y="266700"/>
            <a:ext cx="1885950" cy="349250"/>
          </a:xfrm>
          <a:prstGeom prst="rect">
            <a:avLst/>
          </a:prstGeom>
          <a:solidFill>
            <a:schemeClr val="bg2">
              <a:lumMod val="2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Distinct Patients</a:t>
            </a:r>
          </a:p>
        </xdr:txBody>
      </xdr:sp>
      <xdr:sp macro="" textlink="Report!$A$18">
        <xdr:nvSpPr>
          <xdr:cNvPr id="5" name="TextBox 4">
            <a:extLst>
              <a:ext uri="{FF2B5EF4-FFF2-40B4-BE49-F238E27FC236}">
                <a16:creationId xmlns:a16="http://schemas.microsoft.com/office/drawing/2014/main" id="{48A5967A-27E4-8EC1-1EAC-0771DA22C2DA}"/>
              </a:ext>
            </a:extLst>
          </xdr:cNvPr>
          <xdr:cNvSpPr txBox="1"/>
        </xdr:nvSpPr>
        <xdr:spPr>
          <a:xfrm>
            <a:off x="9296400" y="810041"/>
            <a:ext cx="1149350" cy="9398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A4EA16-7FE1-450A-954B-C580C21133B1}" type="TxLink">
              <a:rPr lang="en-US" sz="3200" b="1" i="0" u="none" strike="noStrike">
                <a:solidFill>
                  <a:schemeClr val="bg1"/>
                </a:solidFill>
                <a:latin typeface="Gill Sans MT"/>
                <a:ea typeface="Calibri"/>
                <a:cs typeface="Calibri"/>
              </a:rPr>
              <a:pPr algn="ctr"/>
              <a:t>256</a:t>
            </a:fld>
            <a:endParaRPr lang="en-US" sz="11500" b="1">
              <a:solidFill>
                <a:schemeClr val="bg1"/>
              </a:solidFill>
            </a:endParaRPr>
          </a:p>
        </xdr:txBody>
      </xdr:sp>
      <xdr:sp macro="" textlink="">
        <xdr:nvSpPr>
          <xdr:cNvPr id="19" name="TextBox 18">
            <a:extLst>
              <a:ext uri="{FF2B5EF4-FFF2-40B4-BE49-F238E27FC236}">
                <a16:creationId xmlns:a16="http://schemas.microsoft.com/office/drawing/2014/main" id="{0DF2F919-9A01-8BF0-3CB8-4828D7CD515D}"/>
              </a:ext>
            </a:extLst>
          </xdr:cNvPr>
          <xdr:cNvSpPr txBox="1"/>
        </xdr:nvSpPr>
        <xdr:spPr>
          <a:xfrm>
            <a:off x="8851900" y="2458500"/>
            <a:ext cx="1885950" cy="349250"/>
          </a:xfrm>
          <a:prstGeom prst="rect">
            <a:avLst/>
          </a:prstGeom>
          <a:solidFill>
            <a:schemeClr val="bg2">
              <a:lumMod val="2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Diagnosis</a:t>
            </a:r>
          </a:p>
        </xdr:txBody>
      </xdr:sp>
      <xdr:sp macro="" textlink="">
        <xdr:nvSpPr>
          <xdr:cNvPr id="20" name="Oval 19">
            <a:extLst>
              <a:ext uri="{FF2B5EF4-FFF2-40B4-BE49-F238E27FC236}">
                <a16:creationId xmlns:a16="http://schemas.microsoft.com/office/drawing/2014/main" id="{D8E9F599-02F4-D084-8F00-626237429568}"/>
              </a:ext>
            </a:extLst>
          </xdr:cNvPr>
          <xdr:cNvSpPr/>
        </xdr:nvSpPr>
        <xdr:spPr>
          <a:xfrm>
            <a:off x="9048750" y="2794375"/>
            <a:ext cx="1606550" cy="1441450"/>
          </a:xfrm>
          <a:prstGeom prst="ellipse">
            <a:avLst/>
          </a:prstGeom>
          <a:solidFill>
            <a:schemeClr val="bg2">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port!$B$18">
        <xdr:nvSpPr>
          <xdr:cNvPr id="21" name="TextBox 20">
            <a:extLst>
              <a:ext uri="{FF2B5EF4-FFF2-40B4-BE49-F238E27FC236}">
                <a16:creationId xmlns:a16="http://schemas.microsoft.com/office/drawing/2014/main" id="{9410343C-17F8-1037-AFF9-B53BA370A6D3}"/>
              </a:ext>
            </a:extLst>
          </xdr:cNvPr>
          <xdr:cNvSpPr txBox="1"/>
        </xdr:nvSpPr>
        <xdr:spPr>
          <a:xfrm>
            <a:off x="9296400" y="3037700"/>
            <a:ext cx="1149350" cy="9398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33FDDC-EDB3-43C0-823F-571235F75D8B}" type="TxLink">
              <a:rPr lang="en-US" sz="3200" b="1" i="0" u="none" strike="noStrike">
                <a:solidFill>
                  <a:schemeClr val="bg1"/>
                </a:solidFill>
                <a:latin typeface="Gill Sans MT"/>
                <a:ea typeface="Calibri"/>
                <a:cs typeface="Calibri"/>
              </a:rPr>
              <a:pPr marL="0" indent="0" algn="ctr"/>
              <a:t>341</a:t>
            </a:fld>
            <a:endParaRPr lang="en-US" sz="8000" b="1" i="0" u="none" strike="noStrike">
              <a:solidFill>
                <a:schemeClr val="bg1"/>
              </a:solidFill>
              <a:latin typeface="Calibri"/>
              <a:ea typeface="Calibri"/>
              <a:cs typeface="Calibri"/>
            </a:endParaRPr>
          </a:p>
        </xdr:txBody>
      </xdr:sp>
    </xdr:grpSp>
    <xdr:clientData/>
  </xdr:twoCellAnchor>
  <xdr:twoCellAnchor>
    <xdr:from>
      <xdr:col>10</xdr:col>
      <xdr:colOff>12700</xdr:colOff>
      <xdr:row>14</xdr:row>
      <xdr:rowOff>12700</xdr:rowOff>
    </xdr:from>
    <xdr:to>
      <xdr:col>14</xdr:col>
      <xdr:colOff>12700</xdr:colOff>
      <xdr:row>26</xdr:row>
      <xdr:rowOff>69850</xdr:rowOff>
    </xdr:to>
    <xdr:graphicFrame macro="">
      <xdr:nvGraphicFramePr>
        <xdr:cNvPr id="27" name="Chart 26">
          <a:extLst>
            <a:ext uri="{FF2B5EF4-FFF2-40B4-BE49-F238E27FC236}">
              <a16:creationId xmlns:a16="http://schemas.microsoft.com/office/drawing/2014/main" id="{E1744729-34EF-40F7-92FB-E5361DCBD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14</xdr:row>
      <xdr:rowOff>6350</xdr:rowOff>
    </xdr:from>
    <xdr:to>
      <xdr:col>10</xdr:col>
      <xdr:colOff>0</xdr:colOff>
      <xdr:row>26</xdr:row>
      <xdr:rowOff>69850</xdr:rowOff>
    </xdr:to>
    <xdr:graphicFrame macro="">
      <xdr:nvGraphicFramePr>
        <xdr:cNvPr id="7" name="Chart 6">
          <a:extLst>
            <a:ext uri="{FF2B5EF4-FFF2-40B4-BE49-F238E27FC236}">
              <a16:creationId xmlns:a16="http://schemas.microsoft.com/office/drawing/2014/main" id="{AC71F786-D865-40D0-AA02-A16FF31FD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44450</xdr:colOff>
      <xdr:row>13</xdr:row>
      <xdr:rowOff>228600</xdr:rowOff>
    </xdr:from>
    <xdr:to>
      <xdr:col>4</xdr:col>
      <xdr:colOff>603250</xdr:colOff>
      <xdr:row>26</xdr:row>
      <xdr:rowOff>63500</xdr:rowOff>
    </xdr:to>
    <xdr:graphicFrame macro="">
      <xdr:nvGraphicFramePr>
        <xdr:cNvPr id="8" name="Chart 7">
          <a:extLst>
            <a:ext uri="{FF2B5EF4-FFF2-40B4-BE49-F238E27FC236}">
              <a16:creationId xmlns:a16="http://schemas.microsoft.com/office/drawing/2014/main" id="{CD63A983-7714-4A45-9E51-B8868E2F0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425450</xdr:colOff>
      <xdr:row>0</xdr:row>
      <xdr:rowOff>1</xdr:rowOff>
    </xdr:from>
    <xdr:to>
      <xdr:col>19</xdr:col>
      <xdr:colOff>342900</xdr:colOff>
      <xdr:row>19</xdr:row>
      <xdr:rowOff>158751</xdr:rowOff>
    </xdr:to>
    <xdr:grpSp>
      <xdr:nvGrpSpPr>
        <xdr:cNvPr id="12" name="Group 11">
          <a:extLst>
            <a:ext uri="{FF2B5EF4-FFF2-40B4-BE49-F238E27FC236}">
              <a16:creationId xmlns:a16="http://schemas.microsoft.com/office/drawing/2014/main" id="{4AFFD39A-5839-6A0D-DE7D-6A24DE7B5FB1}"/>
            </a:ext>
          </a:extLst>
        </xdr:cNvPr>
        <xdr:cNvGrpSpPr/>
      </xdr:nvGrpSpPr>
      <xdr:grpSpPr>
        <a:xfrm>
          <a:off x="10788650" y="1"/>
          <a:ext cx="1136650" cy="4191000"/>
          <a:chOff x="10788650" y="1"/>
          <a:chExt cx="1136650" cy="4191000"/>
        </a:xfrm>
      </xdr:grpSpPr>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B40B51B2-0ED5-BE1B-EDCC-6643C34C03EE}"/>
                  </a:ext>
                </a:extLst>
              </xdr:cNvPr>
              <xdr:cNvGraphicFramePr/>
            </xdr:nvGraphicFramePr>
            <xdr:xfrm>
              <a:off x="10814050" y="2933701"/>
              <a:ext cx="1111250" cy="125730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814050" y="2933701"/>
                <a:ext cx="11112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Diagnosis">
                <a:extLst>
                  <a:ext uri="{FF2B5EF4-FFF2-40B4-BE49-F238E27FC236}">
                    <a16:creationId xmlns:a16="http://schemas.microsoft.com/office/drawing/2014/main" id="{2B1F64D1-8E3F-254E-580B-4D69B5F9C796}"/>
                  </a:ext>
                </a:extLst>
              </xdr:cNvPr>
              <xdr:cNvGraphicFramePr/>
            </xdr:nvGraphicFramePr>
            <xdr:xfrm>
              <a:off x="10801350" y="1035051"/>
              <a:ext cx="1123950" cy="187960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0801350" y="1035051"/>
                <a:ext cx="1123950" cy="187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Visit_Date (Year)">
                <a:extLst>
                  <a:ext uri="{FF2B5EF4-FFF2-40B4-BE49-F238E27FC236}">
                    <a16:creationId xmlns:a16="http://schemas.microsoft.com/office/drawing/2014/main" id="{C7ADD7A4-C0AF-7B39-83A4-F0AC201309A3}"/>
                  </a:ext>
                </a:extLst>
              </xdr:cNvPr>
              <xdr:cNvGraphicFramePr/>
            </xdr:nvGraphicFramePr>
            <xdr:xfrm>
              <a:off x="10788650" y="1"/>
              <a:ext cx="1136650" cy="1022350"/>
            </xdr:xfrm>
            <a:graphic>
              <a:graphicData uri="http://schemas.microsoft.com/office/drawing/2010/slicer">
                <sle:slicer xmlns:sle="http://schemas.microsoft.com/office/drawing/2010/slicer" name="Visit_Date (Year)"/>
              </a:graphicData>
            </a:graphic>
          </xdr:graphicFrame>
        </mc:Choice>
        <mc:Fallback xmlns="">
          <xdr:sp macro="" textlink="">
            <xdr:nvSpPr>
              <xdr:cNvPr id="0" name=""/>
              <xdr:cNvSpPr>
                <a:spLocks noTextEdit="1"/>
              </xdr:cNvSpPr>
            </xdr:nvSpPr>
            <xdr:spPr>
              <a:xfrm>
                <a:off x="10788650" y="1"/>
                <a:ext cx="1136650" cy="102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2893515" backgroundQuery="1" createdVersion="8" refreshedVersion="8" minRefreshableVersion="3" recordCount="0" supportSubquery="1" supportAdvancedDrill="1" xr:uid="{DD203EF6-61D9-4022-8BAD-A19547FEE527}">
  <cacheSource type="external" connectionId="1"/>
  <cacheFields count="4">
    <cacheField name="[Health_Data].[Gender].[Gender]" caption="Gender" numFmtId="0" hierarchy="3" level="1">
      <sharedItems count="2">
        <s v="Female"/>
        <s v="Male"/>
      </sharedItems>
    </cacheField>
    <cacheField name="[Measures].[Count of Diagnosis]" caption="Count of Diagnosis" numFmtId="0" hierarchy="14" level="32767"/>
    <cacheField name="[Health_Data].[Diagnosis].[Diagnosis]" caption="Diagnosis" numFmtId="0" hierarchy="4" level="1">
      <sharedItems containsSemiMixedTypes="0" containsNonDate="0" containsString="0"/>
    </cacheField>
    <cacheField name="[Health_Data].[Age_Group].[Age_Group]" caption="Age_Group" numFmtId="0" hierarchy="2"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3"/>
      </fieldsUsage>
    </cacheHierarchy>
    <cacheHierarchy uniqueName="[Health_Data].[Gender]" caption="Gender" attribute="1" defaultMemberUniqueName="[Health_Data].[Gender].[All]" allUniqueName="[Health_Data].[Gender].[All]" dimensionUniqueName="[Health_Data]" displayFolder="" count="2" memberValueDatatype="130" unbalanced="0">
      <fieldsUsage count="2">
        <fieldUsage x="-1"/>
        <fieldUsage x="0"/>
      </fieldsUsage>
    </cacheHierarchy>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2"/>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oneField="1">
      <fieldsUsage count="1">
        <fieldUsage x="1"/>
      </fieldsUsage>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3240739" backgroundQuery="1" createdVersion="8" refreshedVersion="8" minRefreshableVersion="3" recordCount="0" supportSubquery="1" supportAdvancedDrill="1" xr:uid="{34EED323-4430-4E42-B7AC-47BF34846077}">
  <cacheSource type="external" connectionId="1"/>
  <cacheFields count="4">
    <cacheField name="[Health_Data].[Visit_Date (Year)].[Visit_Date (Year)]" caption="Visit_Date (Year)" numFmtId="0" hierarchy="8" level="1">
      <sharedItems count="2">
        <s v="2023"/>
        <s v="2024"/>
      </sharedItems>
    </cacheField>
    <cacheField name="[Measures].[Sum of Treatment_Cost]" caption="Sum of Treatment_Cost" numFmtId="0" hierarchy="15" level="32767"/>
    <cacheField name="[Health_Data].[Diagnosis].[Diagnosis]" caption="Diagnosis" numFmtId="0" hierarchy="4" level="1">
      <sharedItems containsSemiMixedTypes="0" containsNonDate="0" containsString="0"/>
    </cacheField>
    <cacheField name="[Health_Data].[Age_Group].[Age_Group]" caption="Age_Group" numFmtId="0" hierarchy="2"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3"/>
      </fieldsUsage>
    </cacheHierarchy>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2"/>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fieldsUsage count="2">
        <fieldUsage x="-1"/>
        <fieldUsage x="0"/>
      </fieldsUsage>
    </cacheHierarchy>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oneField="1">
      <fieldsUsage count="1">
        <fieldUsage x="1"/>
      </fieldsUsage>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3587962" backgroundQuery="1" createdVersion="8" refreshedVersion="8" minRefreshableVersion="3" recordCount="0" supportSubquery="1" supportAdvancedDrill="1" xr:uid="{9C1790D9-9242-4129-B653-1C7BD39FD842}">
  <cacheSource type="external" connectionId="1"/>
  <cacheFields count="4">
    <cacheField name="[Measures].[Measure 1]" caption="Measure 1" numFmtId="0" hierarchy="20" level="32767"/>
    <cacheField name="[Measures].[Count of Diagnosis]" caption="Count of Diagnosis" numFmtId="0" hierarchy="14" level="32767"/>
    <cacheField name="[Health_Data].[Diagnosis].[Diagnosis]" caption="Diagnosis" numFmtId="0" hierarchy="4" level="1">
      <sharedItems containsSemiMixedTypes="0" containsNonDate="0" containsString="0"/>
    </cacheField>
    <cacheField name="[Health_Data].[Age_Group].[Age_Group]" caption="Age_Group" numFmtId="0" hierarchy="2"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3"/>
      </fieldsUsage>
    </cacheHierarchy>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2"/>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oneField="1">
      <fieldsUsage count="1">
        <fieldUsage x="1"/>
      </fieldsUsage>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oneField="1">
      <fieldsUsage count="1">
        <fieldUsage x="0"/>
      </fieldsUsage>
    </cacheHierarchy>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4050924" backgroundQuery="1" createdVersion="8" refreshedVersion="8" minRefreshableVersion="3" recordCount="0" supportSubquery="1" supportAdvancedDrill="1" xr:uid="{E7BFE44A-FE7E-4A5F-95F5-2FEFD0D28D20}">
  <cacheSource type="external" connectionId="1"/>
  <cacheFields count="3">
    <cacheField name="[Health_Data].[Diagnosis].[Diagnosis]" caption="Diagnosis" numFmtId="0" hierarchy="4" level="1">
      <sharedItems count="1">
        <s v="Diabetes"/>
      </sharedItems>
    </cacheField>
    <cacheField name="[Measures].[Average of Length_of_Stay_Days]" caption="Average of Length_of_Stay_Days" numFmtId="0" hierarchy="17" level="32767"/>
    <cacheField name="[Health_Data].[Age_Group].[Age_Group]" caption="Age_Group" numFmtId="0" hierarchy="2"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2"/>
      </fieldsUsage>
    </cacheHierarchy>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0"/>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oneField="1">
      <fieldsUsage count="1">
        <fieldUsage x="1"/>
      </fieldsUsage>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4282408" backgroundQuery="1" createdVersion="8" refreshedVersion="8" minRefreshableVersion="3" recordCount="0" supportSubquery="1" supportAdvancedDrill="1" xr:uid="{3DA831BB-AD59-4EF4-B7EB-24F8CD9621AE}">
  <cacheSource type="external" connectionId="1"/>
  <cacheFields count="4">
    <cacheField name="[Health_Data].[Visit_Date (Year)].[Visit_Date (Year)]" caption="Visit_Date (Year)" numFmtId="0" hierarchy="8" level="1">
      <sharedItems count="2">
        <s v="2023"/>
        <s v="2024"/>
      </sharedItems>
    </cacheField>
    <cacheField name="[Measures].[Average of Treatment_Cost]" caption="Average of Treatment_Cost" numFmtId="0" hierarchy="16" level="32767"/>
    <cacheField name="[Health_Data].[Diagnosis].[Diagnosis]" caption="Diagnosis" numFmtId="0" hierarchy="4" level="1">
      <sharedItems containsSemiMixedTypes="0" containsNonDate="0" containsString="0"/>
    </cacheField>
    <cacheField name="[Health_Data].[Age_Group].[Age_Group]" caption="Age_Group" numFmtId="0" hierarchy="2"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3"/>
      </fieldsUsage>
    </cacheHierarchy>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2"/>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fieldsUsage count="2">
        <fieldUsage x="-1"/>
        <fieldUsage x="0"/>
      </fieldsUsage>
    </cacheHierarchy>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oneField="1">
      <fieldsUsage count="1">
        <fieldUsage x="1"/>
      </fieldsUsage>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9.675054629632" backgroundQuery="1" createdVersion="8" refreshedVersion="8" minRefreshableVersion="3" recordCount="0" supportSubquery="1" supportAdvancedDrill="1" xr:uid="{3752BD5F-3F8C-4B22-BFC3-AE55B0E4DE2B}">
  <cacheSource type="external" connectionId="1"/>
  <cacheFields count="3">
    <cacheField name="[Health_Data].[Age_Group].[Age_Group]" caption="Age_Group" numFmtId="0" hierarchy="2" level="1">
      <sharedItems count="3">
        <s v="Middle Age"/>
        <s v="Old"/>
        <s v="Young"/>
      </sharedItems>
    </cacheField>
    <cacheField name="[Measures].[Count of Diagnosis]" caption="Count of Diagnosis" numFmtId="0" hierarchy="14" level="32767"/>
    <cacheField name="[Health_Data].[Diagnosis].[Diagnosis]" caption="Diagnosis" numFmtId="0" hierarchy="4" level="1">
      <sharedItems containsSemiMixedTypes="0" containsNonDate="0" containsString="0"/>
    </cacheField>
  </cacheFields>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fieldsUsage count="2">
        <fieldUsage x="-1"/>
        <fieldUsage x="0"/>
      </fieldsUsage>
    </cacheHierarchy>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fieldsUsage count="2">
        <fieldUsage x="-1"/>
        <fieldUsage x="2"/>
      </fieldsUsage>
    </cacheHierarchy>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oneField="1">
      <fieldsUsage count="1">
        <fieldUsage x="1"/>
      </fieldsUsage>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dimensions count="2">
    <dimension name="Health_Data" uniqueName="[Health_Data]" caption="Health_Data"/>
    <dimension measure="1" name="Measures" uniqueName="[Measures]" caption="Measures"/>
  </dimensions>
  <measureGroups count="1">
    <measureGroup name="Health_Data" caption="Health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nnyMart" refreshedDate="46160.598648148145" backgroundQuery="1" createdVersion="3" refreshedVersion="8" minRefreshableVersion="3" recordCount="0" supportSubquery="1" supportAdvancedDrill="1" xr:uid="{AB94FACC-D8E9-4E08-BE3C-9A4C354584F4}">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Health_Data].[Patient_ID]" caption="Patient_ID" attribute="1" defaultMemberUniqueName="[Health_Data].[Patient_ID].[All]" allUniqueName="[Health_Data].[Patient_ID].[All]" dimensionUniqueName="[Health_Data]" displayFolder="" count="0" memberValueDatatype="20" unbalanced="0"/>
    <cacheHierarchy uniqueName="[Health_Data].[Age]" caption="Age" attribute="1" defaultMemberUniqueName="[Health_Data].[Age].[All]" allUniqueName="[Health_Data].[Age].[All]" dimensionUniqueName="[Health_Data]" displayFolder="" count="0" memberValueDatatype="20" unbalanced="0"/>
    <cacheHierarchy uniqueName="[Health_Data].[Age_Group]" caption="Age_Group" attribute="1" defaultMemberUniqueName="[Health_Data].[Age_Group].[All]" allUniqueName="[Health_Data].[Age_Group].[All]" dimensionUniqueName="[Health_Data]" displayFolder="" count="2" memberValueDatatype="130" unbalanced="0"/>
    <cacheHierarchy uniqueName="[Health_Data].[Gender]" caption="Gender" attribute="1" defaultMemberUniqueName="[Health_Data].[Gender].[All]" allUniqueName="[Health_Data].[Gender].[All]" dimensionUniqueName="[Health_Data]" displayFolder="" count="0" memberValueDatatype="130" unbalanced="0"/>
    <cacheHierarchy uniqueName="[Health_Data].[Diagnosis]" caption="Diagnosis" attribute="1" defaultMemberUniqueName="[Health_Data].[Diagnosis].[All]" allUniqueName="[Health_Data].[Diagnosis].[All]" dimensionUniqueName="[Health_Data]" displayFolder="" count="2" memberValueDatatype="130" unbalanced="0"/>
    <cacheHierarchy uniqueName="[Health_Data].[Visit_Date]" caption="Visit_Date" attribute="1" time="1" defaultMemberUniqueName="[Health_Data].[Visit_Date].[All]" allUniqueName="[Health_Data].[Visit_Date].[All]" dimensionUniqueName="[Health_Data]" displayFolder="" count="0" memberValueDatatype="7" unbalanced="0"/>
    <cacheHierarchy uniqueName="[Health_Data].[Treatment_Cost]" caption="Treatment_Cost" attribute="1" defaultMemberUniqueName="[Health_Data].[Treatment_Cost].[All]" allUniqueName="[Health_Data].[Treatment_Cost].[All]" dimensionUniqueName="[Health_Data]" displayFolder="" count="0" memberValueDatatype="5" unbalanced="0"/>
    <cacheHierarchy uniqueName="[Health_Data].[Length_of_Stay_Days]" caption="Length_of_Stay_Days" attribute="1" defaultMemberUniqueName="[Health_Data].[Length_of_Stay_Days].[All]" allUniqueName="[Health_Data].[Length_of_Stay_Days].[All]" dimensionUniqueName="[Health_Data]" displayFolder="" count="0" memberValueDatatype="20" unbalanced="0"/>
    <cacheHierarchy uniqueName="[Health_Data].[Visit_Date (Year)]" caption="Visit_Date (Year)" attribute="1" defaultMemberUniqueName="[Health_Data].[Visit_Date (Year)].[All]" allUniqueName="[Health_Data].[Visit_Date (Year)].[All]" dimensionUniqueName="[Health_Data]" displayFolder="" count="2" memberValueDatatype="130" unbalanced="0"/>
    <cacheHierarchy uniqueName="[Health_Data].[Visit_Date (Quarter)]" caption="Visit_Date (Quarter)" attribute="1" defaultMemberUniqueName="[Health_Data].[Visit_Date (Quarter)].[All]" allUniqueName="[Health_Data].[Visit_Date (Quarter)].[All]" dimensionUniqueName="[Health_Data]" displayFolder="" count="0" memberValueDatatype="130" unbalanced="0"/>
    <cacheHierarchy uniqueName="[Health_Data].[Visit_Date (Month)]" caption="Visit_Date (Month)" attribute="1" defaultMemberUniqueName="[Health_Data].[Visit_Date (Month)].[All]" allUniqueName="[Health_Data].[Visit_Date (Month)].[All]" dimensionUniqueName="[Health_Data]" displayFolder="" count="0" memberValueDatatype="130" unbalanced="0"/>
    <cacheHierarchy uniqueName="[Health_Data].[Visit_Date (Month Index)]" caption="Visit_Date (Month Index)" attribute="1" defaultMemberUniqueName="[Health_Data].[Visit_Date (Month Index)].[All]" allUniqueName="[Health_Data].[Visit_Date (Month Index)].[All]" dimensionUniqueName="[Health_Data]" displayFolder="" count="0" memberValueDatatype="20" unbalanced="0" hidden="1"/>
    <cacheHierarchy uniqueName="[Measures].[Sum of Length_of_Stay_Days]" caption="Sum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Count of Age_Group]" caption="Count of Age_Group" measure="1" displayFolder="" measureGroup="Health_Data" count="0">
      <extLst>
        <ext xmlns:x15="http://schemas.microsoft.com/office/spreadsheetml/2010/11/main" uri="{B97F6D7D-B522-45F9-BDA1-12C45D357490}">
          <x15:cacheHierarchy aggregatedColumn="2"/>
        </ext>
      </extLst>
    </cacheHierarchy>
    <cacheHierarchy uniqueName="[Measures].[Count of Diagnosis]" caption="Count of Diagnosis" measure="1" displayFolder="" measureGroup="Health_Data" count="0">
      <extLst>
        <ext xmlns:x15="http://schemas.microsoft.com/office/spreadsheetml/2010/11/main" uri="{B97F6D7D-B522-45F9-BDA1-12C45D357490}">
          <x15:cacheHierarchy aggregatedColumn="4"/>
        </ext>
      </extLst>
    </cacheHierarchy>
    <cacheHierarchy uniqueName="[Measures].[Sum of Treatment_Cost]" caption="Sum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Treatment_Cost]" caption="Average of Treatment_Cost" measure="1" displayFolder="" measureGroup="Health_Data" count="0">
      <extLst>
        <ext xmlns:x15="http://schemas.microsoft.com/office/spreadsheetml/2010/11/main" uri="{B97F6D7D-B522-45F9-BDA1-12C45D357490}">
          <x15:cacheHierarchy aggregatedColumn="6"/>
        </ext>
      </extLst>
    </cacheHierarchy>
    <cacheHierarchy uniqueName="[Measures].[Average of Length_of_Stay_Days]" caption="Average of Length_of_Stay_Days" measure="1" displayFolder="" measureGroup="Health_Data" count="0">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Health_Data" count="0">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Health_Data" count="0">
      <extLst>
        <ext xmlns:x15="http://schemas.microsoft.com/office/spreadsheetml/2010/11/main" uri="{B97F6D7D-B522-45F9-BDA1-12C45D357490}">
          <x15:cacheHierarchy aggregatedColumn="0"/>
        </ext>
      </extLst>
    </cacheHierarchy>
    <cacheHierarchy uniqueName="[Measures].[Measure 1]" caption="Measure 1" measure="1" displayFolder="" measureGroup="Health_Data" count="0"/>
    <cacheHierarchy uniqueName="[Measures].[__XL_Count Health_Data]" caption="__XL_Count Health_Data" measure="1" displayFolder="" measureGroup="Health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86337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2D3FD-8E36-4A7C-A7B4-E4E1F8CEE6F6}" name="PivotTable2" cacheId="0" applyNumberFormats="0" applyBorderFormats="0" applyFontFormats="0" applyPatternFormats="0" applyAlignmentFormats="0" applyWidthHeightFormats="1" dataCaption="Values" tag="24d78845-4bc4-4967-99f1-2f1b14806114" updatedVersion="8" minRefreshableVersion="3" useAutoFormatting="1" itemPrintTitles="1" createdVersion="8" indent="0" compact="0" compactData="0" multipleFieldFilters="0" chartFormat="19">
  <location ref="A49:B52" firstHeaderRow="1"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Diagnosis" fld="1" subtotal="count" baseField="0" baseItem="0"/>
  </dataFields>
  <chartFormats count="2">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multipleItemSelectionAllowed="1" dragToData="1">
      <members count="1" level="1">
        <member name="[Health_Data].[Diagnosis].&amp;[Diabete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Treatment_Cost"/>
    <pivotHierarchy dragToData="1" caption="Average of Length_of_Stay_Day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2CB46-B74C-477F-B864-21E1E9B92FF5}" name="PivotTable1" cacheId="1" applyNumberFormats="0" applyBorderFormats="0" applyFontFormats="0" applyPatternFormats="0" applyAlignmentFormats="0" applyWidthHeightFormats="1" dataCaption="Values" tag="24d78845-4bc4-4967-99f1-2f1b14806114" updatedVersion="8" minRefreshableVersion="3" useAutoFormatting="1" itemPrintTitles="1" createdVersion="8" indent="0" compact="0" compactData="0" multipleFieldFilters="0" chartFormat="16">
  <location ref="A43:B46" firstHeaderRow="1"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Sum of Treatment_Cost"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multipleItemSelectionAllowed="1" dragToData="1">
      <members count="1" level="1">
        <member name="[Health_Data].[Diagnosis].&amp;[Diabete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Treatment_Cost"/>
    <pivotHierarchy dragToData="1" caption="Average of Length_of_Stay_Day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20776-51EB-40FD-BA79-D297004D43EC}" name="PivotTable14" cacheId="2" applyNumberFormats="0" applyBorderFormats="0" applyFontFormats="0" applyPatternFormats="0" applyAlignmentFormats="0" applyWidthHeightFormats="1" dataCaption="Values" tag="cf695ede-9bff-4aa9-a611-554acc442677" updatedVersion="8" minRefreshableVersion="3" useAutoFormatting="1" itemPrintTitles="1" createdVersion="8" indent="0" outline="1" outlineData="1" multipleFieldFilters="0">
  <location ref="A17:B18"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name="Count of Diagnosis" fld="1" subtotal="count" baseField="0" baseItem="0"/>
  </dataFields>
  <pivotHierarchies count="23">
    <pivotHierarchy dragToData="1"/>
    <pivotHierarchy dragToData="1"/>
    <pivotHierarchy multipleItemSelectionAllowed="1" dragToData="1"/>
    <pivotHierarchy dragToData="1"/>
    <pivotHierarchy multipleItemSelectionAllowed="1" dragToData="1">
      <members count="1" level="1">
        <member name="[Health_Data].[Diagnosis].&amp;[Diabete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73E89-E4DD-4031-8927-D4873C4DB42D}" name="PivotTable17" cacheId="5" applyNumberFormats="0" applyBorderFormats="0" applyFontFormats="0" applyPatternFormats="0" applyAlignmentFormats="0" applyWidthHeightFormats="1" dataCaption="Values" tag="24d78845-4bc4-4967-99f1-2f1b14806114" updatedVersion="8" minRefreshableVersion="3" useAutoFormatting="1" itemPrintTitles="1" createdVersion="8" indent="0" compact="0" compactData="0" multipleFieldFilters="0" chartFormat="13">
  <location ref="A36:B40"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Diagnosis" fld="1" subtotal="count" baseField="0" baseItem="0"/>
  </dataFields>
  <chartFormats count="9">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1" format="4">
      <pivotArea type="data" outline="0" fieldPosition="0">
        <references count="2">
          <reference field="4294967294" count="1" selected="0">
            <x v="0"/>
          </reference>
          <reference field="0"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s>
  <pivotHierarchies count="23">
    <pivotHierarchy dragToData="1"/>
    <pivotHierarchy dragToData="1"/>
    <pivotHierarchy multipleItemSelectionAllowed="1" dragToData="1"/>
    <pivotHierarchy dragToData="1"/>
    <pivotHierarchy multipleItemSelectionAllowed="1" dragToData="1">
      <members count="1" level="1">
        <member name="[Health_Data].[Diagnosis].&amp;[Diabete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Treatment_Cost"/>
    <pivotHierarchy dragToData="1" caption="Average of Length_of_Stay_Day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1BCE31-03BC-439C-B51F-E5F86D0F6AC8}" name="PivotTable16" cacheId="4" applyNumberFormats="0" applyBorderFormats="0" applyFontFormats="0" applyPatternFormats="0" applyAlignmentFormats="0" applyWidthHeightFormats="1" dataCaption="Values" tag="d0d5611e-5225-419b-a062-eb6788424c88" updatedVersion="8" minRefreshableVersion="3" useAutoFormatting="1" itemPrintTitles="1" createdVersion="8" indent="0" compact="0" compactData="0" multipleFieldFilters="0">
  <location ref="A30:B33" firstHeaderRow="1"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Average of Treatment_Cost" fld="1" subtotal="average" baseField="0" baseItem="1"/>
  </dataFields>
  <pivotHierarchies count="23">
    <pivotHierarchy dragToData="1"/>
    <pivotHierarchy dragToData="1"/>
    <pivotHierarchy multipleItemSelectionAllowed="1" dragToData="1"/>
    <pivotHierarchy dragToData="1"/>
    <pivotHierarchy multipleItemSelectionAllowed="1" dragToData="1">
      <members count="1" level="1">
        <member name="[Health_Data].[Diagnosis].&amp;[Diabete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Treatment_Cost"/>
    <pivotHierarchy dragToData="1" caption="Average of Length_of_Stay_Day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D32C2-3216-4930-9C9F-C5EF5D751DF8}" name="PivotTable15" cacheId="3" applyNumberFormats="0" applyBorderFormats="0" applyFontFormats="0" applyPatternFormats="0" applyAlignmentFormats="0" applyWidthHeightFormats="1" dataCaption="Values" tag="cea46a9c-810b-473a-8452-6426d366ea9f" updatedVersion="8" minRefreshableVersion="3" useAutoFormatting="1" itemPrintTitles="1" createdVersion="8" indent="0" outline="1" outlineData="1" multipleFieldFilters="0">
  <location ref="A21:B2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Length_of_Stay_Days" fld="1" subtotal="average" baseField="0" baseItem="0"/>
  </dataFields>
  <pivotHierarchies count="2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Length_of_Stay_Day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awed_health_dataset.xlsx!Health_Data">
        <x15:activeTabTopLevelEntity name="[Health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571A66D-EC2B-4E93-A1C0-5F9F8625819D}" sourceName="[Health_Data].[Age_Group]">
  <pivotTables>
    <pivotTable tabId="4" name="PivotTable2"/>
    <pivotTable tabId="4" name="PivotTable1"/>
    <pivotTable tabId="4" name="PivotTable14"/>
    <pivotTable tabId="4" name="PivotTable15"/>
    <pivotTable tabId="4" name="PivotTable16"/>
    <pivotTable tabId="4" name="PivotTable17"/>
  </pivotTables>
  <data>
    <olap pivotCacheId="248633755">
      <levels count="2">
        <level uniqueName="[Health_Data].[Age_Group].[(All)]" sourceCaption="(All)" count="0"/>
        <level uniqueName="[Health_Data].[Age_Group].[Age_Group]" sourceCaption="Age_Group" count="3">
          <ranges>
            <range startItem="0">
              <i n="[Health_Data].[Age_Group].&amp;[Middle Age]" c="Middle Age"/>
              <i n="[Health_Data].[Age_Group].&amp;[Old]" c="Old"/>
              <i n="[Health_Data].[Age_Group].&amp;[Young]" c="Young"/>
            </range>
          </ranges>
        </level>
      </levels>
      <selections count="1">
        <selection n="[Health_Data].[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7830B63D-E267-4075-A278-8F8E812AF621}" sourceName="[Health_Data].[Diagnosis]">
  <pivotTables>
    <pivotTable tabId="4" name="PivotTable2"/>
    <pivotTable tabId="4" name="PivotTable1"/>
    <pivotTable tabId="4" name="PivotTable14"/>
    <pivotTable tabId="4" name="PivotTable15"/>
    <pivotTable tabId="4" name="PivotTable16"/>
    <pivotTable tabId="4" name="PivotTable17"/>
  </pivotTables>
  <data>
    <olap pivotCacheId="248633755">
      <levels count="2">
        <level uniqueName="[Health_Data].[Diagnosis].[(All)]" sourceCaption="(All)" count="0"/>
        <level uniqueName="[Health_Data].[Diagnosis].[Diagnosis]" sourceCaption="Diagnosis" count="5">
          <ranges>
            <range startItem="0">
              <i n="[Health_Data].[Diagnosis].&amp;[Asthma]" c="Asthma"/>
              <i n="[Health_Data].[Diagnosis].&amp;[Diabetes]" c="Diabetes"/>
              <i n="[Health_Data].[Diagnosis].&amp;[Flu]" c="Flu"/>
              <i n="[Health_Data].[Diagnosis].&amp;[Hypertension]" c="Hypertension"/>
              <i n="[Health_Data].[Diagnosis].&amp;[Malaria]" c="Malaria"/>
            </range>
          </ranges>
        </level>
      </levels>
      <selections count="1">
        <selection n="[Health_Data].[Diagnosis].&amp;[Diabe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Date__Year" xr10:uid="{337A7709-1508-4369-A811-E74922409757}" sourceName="[Health_Data].[Visit_Date (Year)]">
  <pivotTables>
    <pivotTable tabId="4" name="PivotTable2"/>
    <pivotTable tabId="4" name="PivotTable1"/>
    <pivotTable tabId="4" name="PivotTable14"/>
    <pivotTable tabId="4" name="PivotTable15"/>
    <pivotTable tabId="4" name="PivotTable16"/>
    <pivotTable tabId="4" name="PivotTable17"/>
  </pivotTables>
  <data>
    <olap pivotCacheId="248633755">
      <levels count="2">
        <level uniqueName="[Health_Data].[Visit_Date (Year)].[(All)]" sourceCaption="(All)" count="0"/>
        <level uniqueName="[Health_Data].[Visit_Date (Year)].[Visit_Date (Year)]" sourceCaption="Visit_Date (Year)" count="2">
          <ranges>
            <range startItem="0">
              <i n="[Health_Data].[Visit_Date (Year)].&amp;[2023]" c="2023"/>
              <i n="[Health_Data].[Visit_Date (Year)].&amp;[2024]" c="2024"/>
            </range>
          </ranges>
        </level>
      </levels>
      <selections count="1">
        <selection n="[Health_Data].[Visit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C751FA35-3B26-495A-B0FD-353CD7A04AC3}" cache="Slicer_Age_Group" caption="Age_Group" level="1" rowHeight="262466"/>
  <slicer name="Diagnosis" xr10:uid="{C01E4ADD-9163-48A9-A0E5-F58C70A830B8}" cache="Slicer_Diagnosis" caption="Diagnosis" level="1" rowHeight="262466"/>
  <slicer name="Visit_Date (Year)" xr10:uid="{2D387626-59FC-4AFC-AD1F-EA8E10085CBF}" cache="Slicer_Visit_Date__Year" caption="Visit_Date (Year)" level="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ealth_Data" displayName="Health_Data" ref="A1:H1588" totalsRowShown="0">
  <autoFilter ref="A1:H1588" xr:uid="{00000000-0009-0000-0100-000001000000}"/>
  <tableColumns count="8">
    <tableColumn id="1" xr3:uid="{00000000-0010-0000-0000-000001000000}" name="Patient_ID" dataDxfId="4"/>
    <tableColumn id="2" xr3:uid="{00000000-0010-0000-0000-000002000000}" name="Age" dataDxfId="3"/>
    <tableColumn id="11" xr3:uid="{00000000-0010-0000-0000-00000B000000}" name="Age_Group" dataDxfId="2">
      <calculatedColumnFormula>IF(B2&lt;=30,"Young", IF(B2&lt;=55,"Middle Age",IF(B2&gt;55,"Old","Not found")))</calculatedColumnFormula>
    </tableColumn>
    <tableColumn id="3" xr3:uid="{00000000-0010-0000-0000-000003000000}" name="Gender"/>
    <tableColumn id="5" xr3:uid="{00000000-0010-0000-0000-000005000000}" name="Diagnosis"/>
    <tableColumn id="6" xr3:uid="{00000000-0010-0000-0000-000006000000}" name="Visit_Date" dataDxfId="1"/>
    <tableColumn id="7" xr3:uid="{00000000-0010-0000-0000-000007000000}" name="Treatment_Cost" dataDxfId="0"/>
    <tableColumn id="9" xr3:uid="{00000000-0010-0000-0000-000009000000}" name="Length_of_Stay_Days"/>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88"/>
  <sheetViews>
    <sheetView tabSelected="1" topLeftCell="A16" workbookViewId="0">
      <selection activeCell="K11" sqref="K11"/>
    </sheetView>
  </sheetViews>
  <sheetFormatPr defaultRowHeight="16.5" x14ac:dyDescent="0.5"/>
  <cols>
    <col min="1" max="1" width="11.7265625" style="3" customWidth="1"/>
    <col min="2" max="2" width="6.36328125" style="3" customWidth="1"/>
    <col min="3" max="3" width="10.453125" style="3" customWidth="1"/>
    <col min="4" max="4" width="9" customWidth="1"/>
    <col min="5" max="5" width="12" customWidth="1"/>
    <col min="6" max="6" width="11.453125" style="1" customWidth="1"/>
    <col min="7" max="7" width="16.453125" style="2" customWidth="1"/>
    <col min="8" max="8" width="20.7265625" customWidth="1"/>
  </cols>
  <sheetData>
    <row r="1" spans="1:8" x14ac:dyDescent="0.5">
      <c r="A1" s="3" t="s">
        <v>7</v>
      </c>
      <c r="B1" s="3" t="s">
        <v>8</v>
      </c>
      <c r="C1" s="3" t="s">
        <v>14</v>
      </c>
      <c r="D1" t="s">
        <v>9</v>
      </c>
      <c r="E1" t="s">
        <v>10</v>
      </c>
      <c r="F1" s="1" t="s">
        <v>11</v>
      </c>
      <c r="G1" s="2" t="s">
        <v>12</v>
      </c>
      <c r="H1" t="s">
        <v>13</v>
      </c>
    </row>
    <row r="2" spans="1:8" x14ac:dyDescent="0.5">
      <c r="A2" s="3">
        <v>176</v>
      </c>
      <c r="B2" s="3">
        <v>77</v>
      </c>
      <c r="C2" s="3" t="str">
        <f t="shared" ref="C2:C65" si="0">IF(B2&lt;=30,"Young", IF(B2&lt;=55,"Middle Age",IF(B2&gt;55,"Old","Not found")))</f>
        <v>Old</v>
      </c>
      <c r="D2" t="s">
        <v>5</v>
      </c>
      <c r="E2" t="s">
        <v>0</v>
      </c>
      <c r="F2" s="1">
        <v>45090</v>
      </c>
      <c r="G2" s="10">
        <v>25279.02</v>
      </c>
      <c r="H2">
        <v>7</v>
      </c>
    </row>
    <row r="3" spans="1:8" x14ac:dyDescent="0.5">
      <c r="A3" s="3">
        <v>197</v>
      </c>
      <c r="B3" s="3">
        <v>60</v>
      </c>
      <c r="C3" s="3" t="str">
        <f t="shared" si="0"/>
        <v>Old</v>
      </c>
      <c r="D3" t="s">
        <v>5</v>
      </c>
      <c r="E3" t="s">
        <v>1</v>
      </c>
      <c r="F3" s="1">
        <v>45060</v>
      </c>
      <c r="G3" s="10">
        <v>65816.89</v>
      </c>
      <c r="H3">
        <v>1</v>
      </c>
    </row>
    <row r="4" spans="1:8" x14ac:dyDescent="0.5">
      <c r="A4" s="3">
        <v>26</v>
      </c>
      <c r="B4" s="3">
        <v>73</v>
      </c>
      <c r="C4" s="3" t="str">
        <f t="shared" si="0"/>
        <v>Old</v>
      </c>
      <c r="D4" t="s">
        <v>3</v>
      </c>
      <c r="E4" t="s">
        <v>2</v>
      </c>
      <c r="F4" s="1">
        <v>45240</v>
      </c>
      <c r="G4" s="10">
        <v>8997.6200000000008</v>
      </c>
      <c r="H4">
        <v>16</v>
      </c>
    </row>
    <row r="5" spans="1:8" x14ac:dyDescent="0.5">
      <c r="A5" s="3">
        <v>68</v>
      </c>
      <c r="B5" s="3">
        <v>90</v>
      </c>
      <c r="C5" s="3" t="str">
        <f t="shared" si="0"/>
        <v>Old</v>
      </c>
      <c r="D5" t="s">
        <v>3</v>
      </c>
      <c r="E5" t="s">
        <v>4</v>
      </c>
      <c r="F5" s="1">
        <v>45233</v>
      </c>
      <c r="G5" s="10">
        <v>86222.3</v>
      </c>
      <c r="H5">
        <v>26</v>
      </c>
    </row>
    <row r="6" spans="1:8" x14ac:dyDescent="0.5">
      <c r="A6" s="3">
        <v>212</v>
      </c>
      <c r="B6" s="3">
        <v>56</v>
      </c>
      <c r="C6" s="3" t="str">
        <f t="shared" si="0"/>
        <v>Old</v>
      </c>
      <c r="D6" t="s">
        <v>3</v>
      </c>
      <c r="E6" t="s">
        <v>1</v>
      </c>
      <c r="F6" s="1">
        <v>45094</v>
      </c>
      <c r="G6" s="10">
        <v>43496.02</v>
      </c>
      <c r="H6">
        <v>29</v>
      </c>
    </row>
    <row r="7" spans="1:8" x14ac:dyDescent="0.5">
      <c r="A7" s="3">
        <v>408</v>
      </c>
      <c r="B7" s="3">
        <v>90</v>
      </c>
      <c r="C7" s="3" t="str">
        <f t="shared" si="0"/>
        <v>Old</v>
      </c>
      <c r="D7" t="s">
        <v>5</v>
      </c>
      <c r="E7" t="s">
        <v>0</v>
      </c>
      <c r="F7" s="1">
        <v>45178</v>
      </c>
      <c r="G7" s="10">
        <v>98660.34</v>
      </c>
      <c r="H7">
        <v>19</v>
      </c>
    </row>
    <row r="8" spans="1:8" x14ac:dyDescent="0.5">
      <c r="A8" s="3">
        <v>104</v>
      </c>
      <c r="B8" s="3">
        <v>83</v>
      </c>
      <c r="C8" s="3" t="str">
        <f t="shared" si="0"/>
        <v>Old</v>
      </c>
      <c r="D8" t="s">
        <v>5</v>
      </c>
      <c r="E8" t="s">
        <v>1</v>
      </c>
      <c r="F8" s="1">
        <v>44952</v>
      </c>
      <c r="G8" s="10">
        <v>68115.3</v>
      </c>
      <c r="H8">
        <v>21</v>
      </c>
    </row>
    <row r="9" spans="1:8" x14ac:dyDescent="0.5">
      <c r="A9" s="3">
        <v>349</v>
      </c>
      <c r="B9" s="3">
        <v>64</v>
      </c>
      <c r="C9" s="3" t="str">
        <f t="shared" si="0"/>
        <v>Old</v>
      </c>
      <c r="D9" t="s">
        <v>5</v>
      </c>
      <c r="E9" t="s">
        <v>6</v>
      </c>
      <c r="F9" s="1">
        <v>45180</v>
      </c>
      <c r="G9" s="10">
        <v>11039.7</v>
      </c>
      <c r="H9">
        <v>4</v>
      </c>
    </row>
    <row r="10" spans="1:8" x14ac:dyDescent="0.5">
      <c r="A10" s="3">
        <v>399</v>
      </c>
      <c r="B10" s="3">
        <v>27</v>
      </c>
      <c r="C10" s="3" t="str">
        <f t="shared" si="0"/>
        <v>Young</v>
      </c>
      <c r="D10" t="s">
        <v>5</v>
      </c>
      <c r="E10" t="s">
        <v>2</v>
      </c>
      <c r="F10" s="1">
        <v>45247</v>
      </c>
      <c r="G10" s="10">
        <v>56791.81</v>
      </c>
      <c r="H10">
        <v>18</v>
      </c>
    </row>
    <row r="11" spans="1:8" x14ac:dyDescent="0.5">
      <c r="A11" s="3">
        <v>24</v>
      </c>
      <c r="B11" s="3">
        <v>63</v>
      </c>
      <c r="C11" s="3" t="str">
        <f t="shared" si="0"/>
        <v>Old</v>
      </c>
      <c r="D11" t="s">
        <v>3</v>
      </c>
      <c r="E11" t="s">
        <v>4</v>
      </c>
      <c r="F11" s="1">
        <v>45201</v>
      </c>
      <c r="G11" s="10">
        <v>31748.23</v>
      </c>
      <c r="H11">
        <v>27</v>
      </c>
    </row>
    <row r="12" spans="1:8" x14ac:dyDescent="0.5">
      <c r="A12" s="3">
        <v>73</v>
      </c>
      <c r="B12" s="3">
        <v>23</v>
      </c>
      <c r="C12" s="3" t="str">
        <f t="shared" si="0"/>
        <v>Young</v>
      </c>
      <c r="D12" t="s">
        <v>3</v>
      </c>
      <c r="E12" t="s">
        <v>6</v>
      </c>
      <c r="F12" s="1">
        <v>45301</v>
      </c>
      <c r="G12" s="10">
        <v>15375.5</v>
      </c>
      <c r="H12">
        <v>20</v>
      </c>
    </row>
    <row r="13" spans="1:8" x14ac:dyDescent="0.5">
      <c r="A13" s="3">
        <v>346</v>
      </c>
      <c r="B13" s="3">
        <v>58</v>
      </c>
      <c r="C13" s="3" t="str">
        <f t="shared" si="0"/>
        <v>Old</v>
      </c>
      <c r="D13" t="s">
        <v>5</v>
      </c>
      <c r="E13" t="s">
        <v>1</v>
      </c>
      <c r="F13" s="1">
        <v>44983</v>
      </c>
      <c r="G13" s="10">
        <v>88978.79</v>
      </c>
      <c r="H13">
        <v>11</v>
      </c>
    </row>
    <row r="14" spans="1:8" x14ac:dyDescent="0.5">
      <c r="A14" s="3">
        <v>367</v>
      </c>
      <c r="B14" s="3">
        <v>26</v>
      </c>
      <c r="C14" s="3" t="str">
        <f t="shared" si="0"/>
        <v>Young</v>
      </c>
      <c r="D14" t="s">
        <v>5</v>
      </c>
      <c r="E14" t="s">
        <v>6</v>
      </c>
      <c r="F14" s="1">
        <v>45006</v>
      </c>
      <c r="G14" s="10">
        <v>49364.95</v>
      </c>
      <c r="H14">
        <v>4</v>
      </c>
    </row>
    <row r="15" spans="1:8" x14ac:dyDescent="0.5">
      <c r="A15" s="3">
        <v>43</v>
      </c>
      <c r="B15" s="3">
        <v>43</v>
      </c>
      <c r="C15" s="3" t="str">
        <f t="shared" si="0"/>
        <v>Middle Age</v>
      </c>
      <c r="D15" t="s">
        <v>5</v>
      </c>
      <c r="E15" t="s">
        <v>0</v>
      </c>
      <c r="F15" s="1">
        <v>45270</v>
      </c>
      <c r="G15" s="10">
        <v>60797.49</v>
      </c>
      <c r="H15">
        <v>21</v>
      </c>
    </row>
    <row r="16" spans="1:8" x14ac:dyDescent="0.5">
      <c r="A16" s="3">
        <v>219</v>
      </c>
      <c r="B16" s="3">
        <v>103</v>
      </c>
      <c r="C16" s="3" t="str">
        <f t="shared" si="0"/>
        <v>Old</v>
      </c>
      <c r="D16" t="s">
        <v>5</v>
      </c>
      <c r="E16" t="s">
        <v>6</v>
      </c>
      <c r="F16" s="1">
        <v>45296</v>
      </c>
      <c r="G16" s="10">
        <v>54442.55</v>
      </c>
      <c r="H16">
        <v>2</v>
      </c>
    </row>
    <row r="17" spans="1:8" x14ac:dyDescent="0.5">
      <c r="A17" s="3">
        <v>393</v>
      </c>
      <c r="B17" s="3">
        <v>90</v>
      </c>
      <c r="C17" s="3" t="str">
        <f t="shared" si="0"/>
        <v>Old</v>
      </c>
      <c r="D17" t="s">
        <v>5</v>
      </c>
      <c r="E17" t="s">
        <v>4</v>
      </c>
      <c r="F17" s="1">
        <v>45147</v>
      </c>
      <c r="G17" s="10">
        <v>37821.629999999997</v>
      </c>
      <c r="H17">
        <v>3</v>
      </c>
    </row>
    <row r="18" spans="1:8" x14ac:dyDescent="0.5">
      <c r="A18" s="3">
        <v>168</v>
      </c>
      <c r="B18" s="3">
        <v>27</v>
      </c>
      <c r="C18" s="3" t="str">
        <f t="shared" si="0"/>
        <v>Young</v>
      </c>
      <c r="D18" t="s">
        <v>5</v>
      </c>
      <c r="E18" t="s">
        <v>2</v>
      </c>
      <c r="F18" s="1">
        <v>44969</v>
      </c>
      <c r="G18" s="10">
        <v>78823.11</v>
      </c>
      <c r="H18">
        <v>2</v>
      </c>
    </row>
    <row r="19" spans="1:8" x14ac:dyDescent="0.5">
      <c r="A19" s="3">
        <v>487</v>
      </c>
      <c r="B19" s="3">
        <v>88</v>
      </c>
      <c r="C19" s="3" t="str">
        <f t="shared" si="0"/>
        <v>Old</v>
      </c>
      <c r="D19" t="s">
        <v>5</v>
      </c>
      <c r="E19" t="s">
        <v>2</v>
      </c>
      <c r="F19" s="1">
        <v>45094</v>
      </c>
      <c r="G19" s="10">
        <v>21690.5</v>
      </c>
      <c r="H19">
        <v>7</v>
      </c>
    </row>
    <row r="20" spans="1:8" x14ac:dyDescent="0.5">
      <c r="A20" s="3">
        <v>69</v>
      </c>
      <c r="B20" s="3">
        <v>69</v>
      </c>
      <c r="C20" s="3" t="str">
        <f t="shared" si="0"/>
        <v>Old</v>
      </c>
      <c r="D20" t="s">
        <v>3</v>
      </c>
      <c r="E20" t="s">
        <v>1</v>
      </c>
      <c r="F20" s="1">
        <v>45213</v>
      </c>
      <c r="G20" s="10">
        <v>87905.24</v>
      </c>
      <c r="H20">
        <v>0</v>
      </c>
    </row>
    <row r="21" spans="1:8" x14ac:dyDescent="0.5">
      <c r="A21" s="3">
        <v>433</v>
      </c>
      <c r="B21" s="3">
        <v>90</v>
      </c>
      <c r="C21" s="3" t="str">
        <f t="shared" si="0"/>
        <v>Old</v>
      </c>
      <c r="D21" t="s">
        <v>5</v>
      </c>
      <c r="E21" t="s">
        <v>6</v>
      </c>
      <c r="F21" s="1">
        <v>44939</v>
      </c>
      <c r="G21" s="10">
        <v>69248.33</v>
      </c>
      <c r="H21">
        <v>6</v>
      </c>
    </row>
    <row r="22" spans="1:8" x14ac:dyDescent="0.5">
      <c r="A22" s="3">
        <v>384</v>
      </c>
      <c r="B22" s="3">
        <v>44</v>
      </c>
      <c r="C22" s="3" t="str">
        <f t="shared" si="0"/>
        <v>Middle Age</v>
      </c>
      <c r="D22" t="s">
        <v>5</v>
      </c>
      <c r="E22" t="s">
        <v>1</v>
      </c>
      <c r="F22" s="1">
        <v>45321</v>
      </c>
      <c r="G22" s="10">
        <v>4788.47</v>
      </c>
      <c r="H22">
        <v>16</v>
      </c>
    </row>
    <row r="23" spans="1:8" x14ac:dyDescent="0.5">
      <c r="A23" s="3">
        <v>392</v>
      </c>
      <c r="B23" s="3">
        <v>90</v>
      </c>
      <c r="C23" s="3" t="str">
        <f t="shared" si="0"/>
        <v>Old</v>
      </c>
      <c r="D23" t="s">
        <v>5</v>
      </c>
      <c r="E23" t="s">
        <v>2</v>
      </c>
      <c r="F23" s="1">
        <v>45128</v>
      </c>
      <c r="G23" s="10">
        <v>70626.75</v>
      </c>
      <c r="H23">
        <v>29</v>
      </c>
    </row>
    <row r="24" spans="1:8" x14ac:dyDescent="0.5">
      <c r="A24" s="3">
        <v>429</v>
      </c>
      <c r="B24" s="3">
        <v>47</v>
      </c>
      <c r="C24" s="3" t="str">
        <f t="shared" si="0"/>
        <v>Middle Age</v>
      </c>
      <c r="D24" t="s">
        <v>5</v>
      </c>
      <c r="E24" t="s">
        <v>6</v>
      </c>
      <c r="F24" s="1">
        <v>45136</v>
      </c>
      <c r="G24" s="10">
        <v>39851.699999999997</v>
      </c>
      <c r="H24">
        <v>1</v>
      </c>
    </row>
    <row r="25" spans="1:8" x14ac:dyDescent="0.5">
      <c r="A25" s="3">
        <v>1</v>
      </c>
      <c r="B25" s="3">
        <v>90</v>
      </c>
      <c r="C25" s="3" t="str">
        <f t="shared" si="0"/>
        <v>Old</v>
      </c>
      <c r="D25" t="s">
        <v>5</v>
      </c>
      <c r="E25" t="s">
        <v>0</v>
      </c>
      <c r="F25" s="1">
        <v>45034</v>
      </c>
      <c r="G25" s="10">
        <v>85786.91</v>
      </c>
      <c r="H25">
        <v>6</v>
      </c>
    </row>
    <row r="26" spans="1:8" x14ac:dyDescent="0.5">
      <c r="A26" s="3">
        <v>312</v>
      </c>
      <c r="B26" s="3">
        <v>23</v>
      </c>
      <c r="C26" s="3" t="str">
        <f t="shared" si="0"/>
        <v>Young</v>
      </c>
      <c r="D26" t="s">
        <v>3</v>
      </c>
      <c r="E26" t="s">
        <v>0</v>
      </c>
      <c r="F26" s="1">
        <v>44994</v>
      </c>
      <c r="G26" s="10">
        <v>79211.990000000005</v>
      </c>
      <c r="H26">
        <v>7</v>
      </c>
    </row>
    <row r="27" spans="1:8" x14ac:dyDescent="0.5">
      <c r="A27" s="3">
        <v>251</v>
      </c>
      <c r="B27" s="3">
        <v>23</v>
      </c>
      <c r="C27" s="3" t="str">
        <f t="shared" si="0"/>
        <v>Young</v>
      </c>
      <c r="D27" t="s">
        <v>3</v>
      </c>
      <c r="E27" t="s">
        <v>2</v>
      </c>
      <c r="F27" s="1">
        <v>45237</v>
      </c>
      <c r="G27" s="10">
        <v>6390.28</v>
      </c>
      <c r="H27">
        <v>26</v>
      </c>
    </row>
    <row r="28" spans="1:8" x14ac:dyDescent="0.5">
      <c r="A28" s="3">
        <v>7</v>
      </c>
      <c r="B28" s="3">
        <v>90</v>
      </c>
      <c r="C28" s="3" t="str">
        <f t="shared" si="0"/>
        <v>Old</v>
      </c>
      <c r="D28" t="s">
        <v>5</v>
      </c>
      <c r="E28" t="s">
        <v>6</v>
      </c>
      <c r="F28" s="1">
        <v>45067</v>
      </c>
      <c r="G28" s="10">
        <v>58417.24</v>
      </c>
      <c r="H28">
        <v>3</v>
      </c>
    </row>
    <row r="29" spans="1:8" x14ac:dyDescent="0.5">
      <c r="A29" s="3">
        <v>276</v>
      </c>
      <c r="B29" s="3">
        <v>90</v>
      </c>
      <c r="C29" s="3" t="str">
        <f t="shared" si="0"/>
        <v>Old</v>
      </c>
      <c r="D29" t="s">
        <v>5</v>
      </c>
      <c r="E29" t="s">
        <v>2</v>
      </c>
      <c r="F29" s="1">
        <v>45273</v>
      </c>
      <c r="G29" s="10">
        <v>10933.29</v>
      </c>
      <c r="H29">
        <v>19</v>
      </c>
    </row>
    <row r="30" spans="1:8" x14ac:dyDescent="0.5">
      <c r="A30" s="3">
        <v>445</v>
      </c>
      <c r="B30" s="3">
        <v>76</v>
      </c>
      <c r="C30" s="3" t="str">
        <f t="shared" si="0"/>
        <v>Old</v>
      </c>
      <c r="D30" t="s">
        <v>5</v>
      </c>
      <c r="E30" t="s">
        <v>0</v>
      </c>
      <c r="F30" s="1">
        <v>45312</v>
      </c>
      <c r="G30" s="10">
        <v>88429.6</v>
      </c>
      <c r="H30">
        <v>17</v>
      </c>
    </row>
    <row r="31" spans="1:8" x14ac:dyDescent="0.5">
      <c r="A31" s="3">
        <v>192</v>
      </c>
      <c r="B31" s="3">
        <v>80</v>
      </c>
      <c r="C31" s="3" t="str">
        <f t="shared" si="0"/>
        <v>Old</v>
      </c>
      <c r="D31" t="s">
        <v>5</v>
      </c>
      <c r="E31" t="s">
        <v>6</v>
      </c>
      <c r="F31" s="1">
        <v>45200</v>
      </c>
      <c r="G31" s="10">
        <v>79369.39</v>
      </c>
      <c r="H31">
        <v>4</v>
      </c>
    </row>
    <row r="32" spans="1:8" x14ac:dyDescent="0.5">
      <c r="A32" s="3">
        <v>313</v>
      </c>
      <c r="B32" s="3">
        <v>23</v>
      </c>
      <c r="C32" s="3" t="str">
        <f t="shared" si="0"/>
        <v>Young</v>
      </c>
      <c r="D32" t="s">
        <v>3</v>
      </c>
      <c r="E32" t="s">
        <v>1</v>
      </c>
      <c r="F32" s="1">
        <v>45188</v>
      </c>
      <c r="G32" s="10">
        <v>26912.65</v>
      </c>
      <c r="H32">
        <v>23</v>
      </c>
    </row>
    <row r="33" spans="1:8" x14ac:dyDescent="0.5">
      <c r="A33" s="3">
        <v>153</v>
      </c>
      <c r="B33" s="3">
        <v>23</v>
      </c>
      <c r="C33" s="3" t="str">
        <f t="shared" si="0"/>
        <v>Young</v>
      </c>
      <c r="D33" t="s">
        <v>3</v>
      </c>
      <c r="E33" t="s">
        <v>0</v>
      </c>
      <c r="F33" s="1">
        <v>45257</v>
      </c>
      <c r="G33" s="10">
        <v>37793.839999999997</v>
      </c>
      <c r="H33">
        <v>22</v>
      </c>
    </row>
    <row r="34" spans="1:8" x14ac:dyDescent="0.5">
      <c r="A34" s="3">
        <v>184</v>
      </c>
      <c r="B34" s="3">
        <v>23</v>
      </c>
      <c r="C34" s="3" t="str">
        <f t="shared" si="0"/>
        <v>Young</v>
      </c>
      <c r="D34" t="s">
        <v>5</v>
      </c>
      <c r="E34" t="s">
        <v>2</v>
      </c>
      <c r="F34" s="1">
        <v>45279</v>
      </c>
      <c r="G34" s="10">
        <v>97115.99</v>
      </c>
      <c r="H34">
        <v>3</v>
      </c>
    </row>
    <row r="35" spans="1:8" x14ac:dyDescent="0.5">
      <c r="A35" s="3">
        <v>438</v>
      </c>
      <c r="B35" s="3">
        <v>52</v>
      </c>
      <c r="C35" s="3" t="str">
        <f t="shared" si="0"/>
        <v>Middle Age</v>
      </c>
      <c r="D35" t="s">
        <v>5</v>
      </c>
      <c r="E35" t="s">
        <v>0</v>
      </c>
      <c r="F35" s="1">
        <v>45314</v>
      </c>
      <c r="G35" s="10">
        <v>47553.1</v>
      </c>
      <c r="H35">
        <v>2</v>
      </c>
    </row>
    <row r="36" spans="1:8" x14ac:dyDescent="0.5">
      <c r="A36" s="3">
        <v>113</v>
      </c>
      <c r="B36" s="3">
        <v>25</v>
      </c>
      <c r="C36" s="3" t="str">
        <f t="shared" si="0"/>
        <v>Young</v>
      </c>
      <c r="D36" t="s">
        <v>3</v>
      </c>
      <c r="E36" t="s">
        <v>2</v>
      </c>
      <c r="F36" s="1">
        <v>44932</v>
      </c>
      <c r="G36" s="10">
        <v>9631.8700000000008</v>
      </c>
      <c r="H36">
        <v>15</v>
      </c>
    </row>
    <row r="37" spans="1:8" x14ac:dyDescent="0.5">
      <c r="A37" s="3">
        <v>252</v>
      </c>
      <c r="B37" s="3">
        <v>50</v>
      </c>
      <c r="C37" s="3" t="str">
        <f t="shared" si="0"/>
        <v>Middle Age</v>
      </c>
      <c r="D37" t="s">
        <v>3</v>
      </c>
      <c r="E37" t="s">
        <v>1</v>
      </c>
      <c r="F37" s="1">
        <v>45232</v>
      </c>
      <c r="G37" s="10">
        <v>87018.89</v>
      </c>
      <c r="H37">
        <v>2</v>
      </c>
    </row>
    <row r="38" spans="1:8" x14ac:dyDescent="0.5">
      <c r="A38" s="3">
        <v>190</v>
      </c>
      <c r="B38" s="3">
        <v>61</v>
      </c>
      <c r="C38" s="3" t="str">
        <f t="shared" si="0"/>
        <v>Old</v>
      </c>
      <c r="D38" t="s">
        <v>5</v>
      </c>
      <c r="E38" t="s">
        <v>2</v>
      </c>
      <c r="F38" s="1">
        <v>45264</v>
      </c>
      <c r="G38" s="10">
        <v>72003.210000000006</v>
      </c>
      <c r="H38">
        <v>24</v>
      </c>
    </row>
    <row r="39" spans="1:8" x14ac:dyDescent="0.5">
      <c r="A39" s="3">
        <v>449</v>
      </c>
      <c r="B39" s="3">
        <v>90</v>
      </c>
      <c r="C39" s="3" t="str">
        <f t="shared" si="0"/>
        <v>Old</v>
      </c>
      <c r="D39" t="s">
        <v>3</v>
      </c>
      <c r="E39" t="s">
        <v>6</v>
      </c>
      <c r="F39" s="1">
        <v>45049</v>
      </c>
      <c r="G39" s="10">
        <v>73754.080000000002</v>
      </c>
      <c r="H39">
        <v>3</v>
      </c>
    </row>
    <row r="40" spans="1:8" x14ac:dyDescent="0.5">
      <c r="A40" s="3">
        <v>313</v>
      </c>
      <c r="B40" s="3">
        <v>44</v>
      </c>
      <c r="C40" s="3" t="str">
        <f t="shared" si="0"/>
        <v>Middle Age</v>
      </c>
      <c r="D40" t="s">
        <v>5</v>
      </c>
      <c r="E40" t="s">
        <v>2</v>
      </c>
      <c r="F40" s="1">
        <v>45177</v>
      </c>
      <c r="G40" s="10">
        <v>50157.279999999999</v>
      </c>
      <c r="H40">
        <v>13</v>
      </c>
    </row>
    <row r="41" spans="1:8" x14ac:dyDescent="0.5">
      <c r="A41" s="3">
        <v>202</v>
      </c>
      <c r="B41" s="3">
        <v>32</v>
      </c>
      <c r="C41" s="3" t="str">
        <f t="shared" si="0"/>
        <v>Middle Age</v>
      </c>
      <c r="D41" t="s">
        <v>3</v>
      </c>
      <c r="E41" t="s">
        <v>2</v>
      </c>
      <c r="F41" s="1">
        <v>45064</v>
      </c>
      <c r="G41" s="10">
        <v>28193.88</v>
      </c>
      <c r="H41">
        <v>15</v>
      </c>
    </row>
    <row r="42" spans="1:8" x14ac:dyDescent="0.5">
      <c r="A42" s="3">
        <v>463</v>
      </c>
      <c r="B42" s="3">
        <v>97</v>
      </c>
      <c r="C42" s="3" t="str">
        <f t="shared" si="0"/>
        <v>Old</v>
      </c>
      <c r="D42" t="s">
        <v>5</v>
      </c>
      <c r="E42" t="s">
        <v>4</v>
      </c>
      <c r="F42" s="1">
        <v>45314</v>
      </c>
      <c r="G42" s="10">
        <v>71975.05</v>
      </c>
      <c r="H42">
        <v>16</v>
      </c>
    </row>
    <row r="43" spans="1:8" x14ac:dyDescent="0.5">
      <c r="A43" s="3">
        <v>39</v>
      </c>
      <c r="B43" s="3">
        <v>95</v>
      </c>
      <c r="C43" s="3" t="str">
        <f t="shared" si="0"/>
        <v>Old</v>
      </c>
      <c r="D43" t="s">
        <v>3</v>
      </c>
      <c r="E43" t="s">
        <v>6</v>
      </c>
      <c r="F43" s="1">
        <v>44998</v>
      </c>
      <c r="G43" s="10">
        <v>20537.43</v>
      </c>
      <c r="H43">
        <v>9</v>
      </c>
    </row>
    <row r="44" spans="1:8" x14ac:dyDescent="0.5">
      <c r="A44" s="3">
        <v>495</v>
      </c>
      <c r="B44" s="3">
        <v>28</v>
      </c>
      <c r="C44" s="3" t="str">
        <f t="shared" si="0"/>
        <v>Young</v>
      </c>
      <c r="D44" t="s">
        <v>5</v>
      </c>
      <c r="E44" t="s">
        <v>6</v>
      </c>
      <c r="F44" s="1">
        <v>45302</v>
      </c>
      <c r="G44" s="10">
        <v>22157.47</v>
      </c>
      <c r="H44">
        <v>23</v>
      </c>
    </row>
    <row r="45" spans="1:8" x14ac:dyDescent="0.5">
      <c r="A45" s="3">
        <v>138</v>
      </c>
      <c r="B45" s="3">
        <v>82</v>
      </c>
      <c r="C45" s="3" t="str">
        <f t="shared" si="0"/>
        <v>Old</v>
      </c>
      <c r="D45" t="s">
        <v>5</v>
      </c>
      <c r="E45" t="s">
        <v>4</v>
      </c>
      <c r="F45" s="1">
        <v>45166</v>
      </c>
      <c r="G45" s="10">
        <v>63040.47</v>
      </c>
      <c r="H45">
        <v>26</v>
      </c>
    </row>
    <row r="46" spans="1:8" x14ac:dyDescent="0.5">
      <c r="A46" s="3">
        <v>344</v>
      </c>
      <c r="B46" s="3">
        <v>23</v>
      </c>
      <c r="C46" s="3" t="str">
        <f t="shared" si="0"/>
        <v>Young</v>
      </c>
      <c r="D46" t="s">
        <v>5</v>
      </c>
      <c r="E46" t="s">
        <v>4</v>
      </c>
      <c r="F46" s="1">
        <v>45062</v>
      </c>
      <c r="G46" s="10">
        <v>46936.09</v>
      </c>
      <c r="H46">
        <v>3</v>
      </c>
    </row>
    <row r="47" spans="1:8" x14ac:dyDescent="0.5">
      <c r="A47" s="3">
        <v>484</v>
      </c>
      <c r="B47" s="3">
        <v>23</v>
      </c>
      <c r="C47" s="3" t="str">
        <f t="shared" si="0"/>
        <v>Young</v>
      </c>
      <c r="D47" t="s">
        <v>3</v>
      </c>
      <c r="E47" t="s">
        <v>6</v>
      </c>
      <c r="F47" s="1">
        <v>45124</v>
      </c>
      <c r="G47" s="10">
        <v>93880.75</v>
      </c>
      <c r="H47">
        <v>24</v>
      </c>
    </row>
    <row r="48" spans="1:8" x14ac:dyDescent="0.5">
      <c r="A48" s="3">
        <v>196</v>
      </c>
      <c r="B48" s="3">
        <v>99</v>
      </c>
      <c r="C48" s="3" t="str">
        <f t="shared" si="0"/>
        <v>Old</v>
      </c>
      <c r="D48" t="s">
        <v>5</v>
      </c>
      <c r="E48" t="s">
        <v>0</v>
      </c>
      <c r="F48" s="1">
        <v>45306</v>
      </c>
      <c r="G48" s="10">
        <v>70384.13</v>
      </c>
      <c r="H48">
        <v>11</v>
      </c>
    </row>
    <row r="49" spans="1:8" x14ac:dyDescent="0.5">
      <c r="A49" s="3">
        <v>340</v>
      </c>
      <c r="B49" s="3">
        <v>21</v>
      </c>
      <c r="C49" s="3" t="str">
        <f t="shared" si="0"/>
        <v>Young</v>
      </c>
      <c r="D49" t="s">
        <v>5</v>
      </c>
      <c r="E49" t="s">
        <v>4</v>
      </c>
      <c r="F49" s="1">
        <v>44928</v>
      </c>
      <c r="G49" s="10">
        <v>41594.370000000003</v>
      </c>
      <c r="H49">
        <v>9</v>
      </c>
    </row>
    <row r="50" spans="1:8" x14ac:dyDescent="0.5">
      <c r="A50" s="3">
        <v>433</v>
      </c>
      <c r="B50" s="3">
        <v>23</v>
      </c>
      <c r="C50" s="3" t="str">
        <f t="shared" si="0"/>
        <v>Young</v>
      </c>
      <c r="D50" t="s">
        <v>3</v>
      </c>
      <c r="E50" t="s">
        <v>6</v>
      </c>
      <c r="F50" s="1">
        <v>44938</v>
      </c>
      <c r="G50" s="10">
        <v>29485.73</v>
      </c>
      <c r="H50">
        <v>24</v>
      </c>
    </row>
    <row r="51" spans="1:8" x14ac:dyDescent="0.5">
      <c r="A51" s="3">
        <v>258</v>
      </c>
      <c r="B51" s="3">
        <v>49</v>
      </c>
      <c r="C51" s="3" t="str">
        <f t="shared" si="0"/>
        <v>Middle Age</v>
      </c>
      <c r="D51" t="s">
        <v>3</v>
      </c>
      <c r="E51" t="s">
        <v>6</v>
      </c>
      <c r="F51" s="1">
        <v>45287</v>
      </c>
      <c r="G51" s="10">
        <v>78678.94</v>
      </c>
      <c r="H51">
        <v>20</v>
      </c>
    </row>
    <row r="52" spans="1:8" x14ac:dyDescent="0.5">
      <c r="A52" s="3">
        <v>193</v>
      </c>
      <c r="B52" s="3">
        <v>23</v>
      </c>
      <c r="C52" s="3" t="str">
        <f t="shared" si="0"/>
        <v>Young</v>
      </c>
      <c r="D52" t="s">
        <v>5</v>
      </c>
      <c r="E52" t="s">
        <v>4</v>
      </c>
      <c r="F52" s="1">
        <v>45219</v>
      </c>
      <c r="G52" s="10">
        <v>31140.78</v>
      </c>
      <c r="H52">
        <v>29</v>
      </c>
    </row>
    <row r="53" spans="1:8" x14ac:dyDescent="0.5">
      <c r="A53" s="3">
        <v>401</v>
      </c>
      <c r="B53" s="3">
        <v>56</v>
      </c>
      <c r="C53" s="3" t="str">
        <f t="shared" si="0"/>
        <v>Old</v>
      </c>
      <c r="D53" t="s">
        <v>5</v>
      </c>
      <c r="E53" t="s">
        <v>1</v>
      </c>
      <c r="F53" s="1">
        <v>45197</v>
      </c>
      <c r="G53" s="10">
        <v>77356.97</v>
      </c>
      <c r="H53">
        <v>25</v>
      </c>
    </row>
    <row r="54" spans="1:8" x14ac:dyDescent="0.5">
      <c r="A54" s="3">
        <v>375</v>
      </c>
      <c r="B54" s="3">
        <v>42</v>
      </c>
      <c r="C54" s="3" t="str">
        <f t="shared" si="0"/>
        <v>Middle Age</v>
      </c>
      <c r="D54" t="s">
        <v>5</v>
      </c>
      <c r="E54" t="s">
        <v>1</v>
      </c>
      <c r="F54" s="1">
        <v>45063</v>
      </c>
      <c r="G54" s="10">
        <v>17508.87</v>
      </c>
      <c r="H54">
        <v>24</v>
      </c>
    </row>
    <row r="55" spans="1:8" x14ac:dyDescent="0.5">
      <c r="A55" s="3">
        <v>416</v>
      </c>
      <c r="B55" s="3">
        <v>33</v>
      </c>
      <c r="C55" s="3" t="str">
        <f t="shared" si="0"/>
        <v>Middle Age</v>
      </c>
      <c r="D55" t="s">
        <v>3</v>
      </c>
      <c r="E55" t="s">
        <v>2</v>
      </c>
      <c r="F55" s="1">
        <v>45048</v>
      </c>
      <c r="G55" s="10">
        <v>72782.179999999993</v>
      </c>
      <c r="H55">
        <v>22</v>
      </c>
    </row>
    <row r="56" spans="1:8" x14ac:dyDescent="0.5">
      <c r="A56" s="3">
        <v>429</v>
      </c>
      <c r="B56" s="3">
        <v>41</v>
      </c>
      <c r="C56" s="3" t="str">
        <f t="shared" si="0"/>
        <v>Middle Age</v>
      </c>
      <c r="D56" t="s">
        <v>3</v>
      </c>
      <c r="E56" t="s">
        <v>1</v>
      </c>
      <c r="F56" s="1">
        <v>44945</v>
      </c>
      <c r="G56" s="10">
        <v>73007.210000000006</v>
      </c>
      <c r="H56">
        <v>25</v>
      </c>
    </row>
    <row r="57" spans="1:8" x14ac:dyDescent="0.5">
      <c r="A57" s="3">
        <v>93</v>
      </c>
      <c r="B57" s="3">
        <v>23</v>
      </c>
      <c r="C57" s="3" t="str">
        <f t="shared" si="0"/>
        <v>Young</v>
      </c>
      <c r="D57" t="s">
        <v>3</v>
      </c>
      <c r="E57" t="s">
        <v>0</v>
      </c>
      <c r="F57" s="1">
        <v>44962</v>
      </c>
      <c r="G57" s="10">
        <v>25733.18</v>
      </c>
      <c r="H57">
        <v>7</v>
      </c>
    </row>
    <row r="58" spans="1:8" x14ac:dyDescent="0.5">
      <c r="A58" s="3">
        <v>253</v>
      </c>
      <c r="B58" s="3">
        <v>23</v>
      </c>
      <c r="C58" s="3" t="str">
        <f t="shared" si="0"/>
        <v>Young</v>
      </c>
      <c r="D58" t="s">
        <v>5</v>
      </c>
      <c r="E58" t="s">
        <v>4</v>
      </c>
      <c r="F58" s="1">
        <v>45263</v>
      </c>
      <c r="G58" s="10">
        <v>77302</v>
      </c>
      <c r="H58">
        <v>7</v>
      </c>
    </row>
    <row r="59" spans="1:8" x14ac:dyDescent="0.5">
      <c r="A59" s="3">
        <v>72</v>
      </c>
      <c r="B59" s="3">
        <v>51</v>
      </c>
      <c r="C59" s="3" t="str">
        <f t="shared" si="0"/>
        <v>Middle Age</v>
      </c>
      <c r="D59" t="s">
        <v>3</v>
      </c>
      <c r="E59" t="s">
        <v>4</v>
      </c>
      <c r="F59" s="1">
        <v>45017</v>
      </c>
      <c r="G59" s="10">
        <v>61323.22</v>
      </c>
      <c r="H59">
        <v>14</v>
      </c>
    </row>
    <row r="60" spans="1:8" x14ac:dyDescent="0.5">
      <c r="A60" s="3">
        <v>280</v>
      </c>
      <c r="B60" s="3">
        <v>63</v>
      </c>
      <c r="C60" s="3" t="str">
        <f t="shared" si="0"/>
        <v>Old</v>
      </c>
      <c r="D60" t="s">
        <v>3</v>
      </c>
      <c r="E60" t="s">
        <v>0</v>
      </c>
      <c r="F60" s="1">
        <v>44982</v>
      </c>
      <c r="G60" s="10">
        <v>20654.259999999998</v>
      </c>
      <c r="H60">
        <v>17</v>
      </c>
    </row>
    <row r="61" spans="1:8" x14ac:dyDescent="0.5">
      <c r="A61" s="3">
        <v>11</v>
      </c>
      <c r="B61" s="3">
        <v>56</v>
      </c>
      <c r="C61" s="3" t="str">
        <f t="shared" si="0"/>
        <v>Old</v>
      </c>
      <c r="D61" t="s">
        <v>5</v>
      </c>
      <c r="E61" t="s">
        <v>4</v>
      </c>
      <c r="F61" s="1">
        <v>45242</v>
      </c>
      <c r="G61" s="10">
        <v>92496.45</v>
      </c>
      <c r="H61">
        <v>24</v>
      </c>
    </row>
    <row r="62" spans="1:8" x14ac:dyDescent="0.5">
      <c r="A62" s="3">
        <v>234</v>
      </c>
      <c r="B62" s="3">
        <v>1</v>
      </c>
      <c r="C62" s="3" t="str">
        <f t="shared" si="0"/>
        <v>Young</v>
      </c>
      <c r="D62" t="s">
        <v>3</v>
      </c>
      <c r="E62" t="s">
        <v>1</v>
      </c>
      <c r="F62" s="1">
        <v>45146</v>
      </c>
      <c r="G62" s="10">
        <v>63152.63</v>
      </c>
      <c r="H62">
        <v>29</v>
      </c>
    </row>
    <row r="63" spans="1:8" x14ac:dyDescent="0.5">
      <c r="A63" s="3">
        <v>292</v>
      </c>
      <c r="B63" s="3">
        <v>23</v>
      </c>
      <c r="C63" s="3" t="str">
        <f t="shared" si="0"/>
        <v>Young</v>
      </c>
      <c r="D63" t="s">
        <v>5</v>
      </c>
      <c r="E63" t="s">
        <v>6</v>
      </c>
      <c r="F63" s="1">
        <v>45007</v>
      </c>
      <c r="G63" s="10">
        <v>65388.36</v>
      </c>
      <c r="H63">
        <v>0</v>
      </c>
    </row>
    <row r="64" spans="1:8" x14ac:dyDescent="0.5">
      <c r="A64" s="3">
        <v>318</v>
      </c>
      <c r="B64" s="3">
        <v>43</v>
      </c>
      <c r="C64" s="3" t="str">
        <f t="shared" si="0"/>
        <v>Middle Age</v>
      </c>
      <c r="D64" t="s">
        <v>3</v>
      </c>
      <c r="E64" t="s">
        <v>1</v>
      </c>
      <c r="F64" s="1">
        <v>44962</v>
      </c>
      <c r="G64" s="10">
        <v>12305.73</v>
      </c>
      <c r="H64">
        <v>16</v>
      </c>
    </row>
    <row r="65" spans="1:8" x14ac:dyDescent="0.5">
      <c r="A65" s="3">
        <v>392</v>
      </c>
      <c r="B65" s="3">
        <v>88</v>
      </c>
      <c r="C65" s="3" t="str">
        <f t="shared" si="0"/>
        <v>Old</v>
      </c>
      <c r="D65" t="s">
        <v>5</v>
      </c>
      <c r="E65" t="s">
        <v>6</v>
      </c>
      <c r="F65" s="1">
        <v>44931</v>
      </c>
      <c r="G65" s="10">
        <v>43143.58</v>
      </c>
      <c r="H65">
        <v>1</v>
      </c>
    </row>
    <row r="66" spans="1:8" x14ac:dyDescent="0.5">
      <c r="A66" s="3">
        <v>93</v>
      </c>
      <c r="B66" s="3">
        <v>23</v>
      </c>
      <c r="C66" s="3" t="str">
        <f t="shared" ref="C66:C129" si="1">IF(B66&lt;=30,"Young", IF(B66&lt;=55,"Middle Age",IF(B66&gt;55,"Old","Not found")))</f>
        <v>Young</v>
      </c>
      <c r="D66" t="s">
        <v>5</v>
      </c>
      <c r="E66" t="s">
        <v>1</v>
      </c>
      <c r="F66" s="1">
        <v>44949</v>
      </c>
      <c r="G66" s="10">
        <v>31352.04</v>
      </c>
      <c r="H66">
        <v>17</v>
      </c>
    </row>
    <row r="67" spans="1:8" x14ac:dyDescent="0.5">
      <c r="A67" s="3">
        <v>248</v>
      </c>
      <c r="B67" s="3">
        <v>42</v>
      </c>
      <c r="C67" s="3" t="str">
        <f t="shared" si="1"/>
        <v>Middle Age</v>
      </c>
      <c r="D67" t="s">
        <v>5</v>
      </c>
      <c r="E67" t="s">
        <v>6</v>
      </c>
      <c r="F67" s="1">
        <v>45185</v>
      </c>
      <c r="G67" s="10">
        <v>78488.75</v>
      </c>
      <c r="H67">
        <v>12</v>
      </c>
    </row>
    <row r="68" spans="1:8" x14ac:dyDescent="0.5">
      <c r="A68" s="3">
        <v>225</v>
      </c>
      <c r="B68" s="3">
        <v>97</v>
      </c>
      <c r="C68" s="3" t="str">
        <f t="shared" si="1"/>
        <v>Old</v>
      </c>
      <c r="D68" t="s">
        <v>5</v>
      </c>
      <c r="E68" t="s">
        <v>2</v>
      </c>
      <c r="F68" s="1">
        <v>44976</v>
      </c>
      <c r="G68" s="10">
        <v>2021.4</v>
      </c>
      <c r="H68">
        <v>3</v>
      </c>
    </row>
    <row r="69" spans="1:8" x14ac:dyDescent="0.5">
      <c r="A69" s="3">
        <v>150</v>
      </c>
      <c r="B69" s="3">
        <v>104</v>
      </c>
      <c r="C69" s="3" t="str">
        <f t="shared" si="1"/>
        <v>Old</v>
      </c>
      <c r="D69" t="s">
        <v>3</v>
      </c>
      <c r="E69" t="s">
        <v>6</v>
      </c>
      <c r="F69" s="1">
        <v>45061</v>
      </c>
      <c r="G69" s="10">
        <v>82498.97</v>
      </c>
      <c r="H69">
        <v>14</v>
      </c>
    </row>
    <row r="70" spans="1:8" x14ac:dyDescent="0.5">
      <c r="A70" s="3">
        <v>357</v>
      </c>
      <c r="B70" s="3">
        <v>102</v>
      </c>
      <c r="C70" s="3" t="str">
        <f t="shared" si="1"/>
        <v>Old</v>
      </c>
      <c r="D70" t="s">
        <v>5</v>
      </c>
      <c r="E70" t="s">
        <v>1</v>
      </c>
      <c r="F70" s="1">
        <v>45298</v>
      </c>
      <c r="G70" s="10">
        <v>87062.16</v>
      </c>
      <c r="H70">
        <v>9</v>
      </c>
    </row>
    <row r="71" spans="1:8" x14ac:dyDescent="0.5">
      <c r="A71" s="3">
        <v>420</v>
      </c>
      <c r="B71" s="3">
        <v>1</v>
      </c>
      <c r="C71" s="3" t="str">
        <f t="shared" si="1"/>
        <v>Young</v>
      </c>
      <c r="D71" t="s">
        <v>3</v>
      </c>
      <c r="E71" t="s">
        <v>2</v>
      </c>
      <c r="F71" s="1">
        <v>45010</v>
      </c>
      <c r="G71" s="10">
        <v>1751.92</v>
      </c>
      <c r="H71">
        <v>18</v>
      </c>
    </row>
    <row r="72" spans="1:8" x14ac:dyDescent="0.5">
      <c r="A72" s="3">
        <v>482</v>
      </c>
      <c r="B72" s="3">
        <v>90</v>
      </c>
      <c r="C72" s="3" t="str">
        <f t="shared" si="1"/>
        <v>Old</v>
      </c>
      <c r="D72" t="s">
        <v>3</v>
      </c>
      <c r="E72" t="s">
        <v>6</v>
      </c>
      <c r="F72" s="1">
        <v>44981</v>
      </c>
      <c r="G72" s="10">
        <v>58184.25</v>
      </c>
      <c r="H72">
        <v>9</v>
      </c>
    </row>
    <row r="73" spans="1:8" x14ac:dyDescent="0.5">
      <c r="A73" s="3">
        <v>380</v>
      </c>
      <c r="B73" s="3">
        <v>64</v>
      </c>
      <c r="C73" s="3" t="str">
        <f t="shared" si="1"/>
        <v>Old</v>
      </c>
      <c r="D73" t="s">
        <v>3</v>
      </c>
      <c r="E73" t="s">
        <v>2</v>
      </c>
      <c r="F73" s="1">
        <v>45142</v>
      </c>
      <c r="G73" s="10">
        <v>84953.03</v>
      </c>
      <c r="H73">
        <v>10</v>
      </c>
    </row>
    <row r="74" spans="1:8" x14ac:dyDescent="0.5">
      <c r="A74" s="3">
        <v>220</v>
      </c>
      <c r="B74" s="3">
        <v>90</v>
      </c>
      <c r="C74" s="3" t="str">
        <f t="shared" si="1"/>
        <v>Old</v>
      </c>
      <c r="D74" t="s">
        <v>5</v>
      </c>
      <c r="E74" t="s">
        <v>2</v>
      </c>
      <c r="F74" s="1">
        <v>45183</v>
      </c>
      <c r="G74" s="10">
        <v>36514.01</v>
      </c>
      <c r="H74">
        <v>27</v>
      </c>
    </row>
    <row r="75" spans="1:8" x14ac:dyDescent="0.5">
      <c r="A75" s="3">
        <v>20</v>
      </c>
      <c r="B75" s="3">
        <v>24</v>
      </c>
      <c r="C75" s="3" t="str">
        <f t="shared" si="1"/>
        <v>Young</v>
      </c>
      <c r="D75" t="s">
        <v>5</v>
      </c>
      <c r="E75" t="s">
        <v>2</v>
      </c>
      <c r="F75" s="1">
        <v>45238</v>
      </c>
      <c r="G75" s="10">
        <v>23759.95</v>
      </c>
      <c r="H75">
        <v>24</v>
      </c>
    </row>
    <row r="76" spans="1:8" x14ac:dyDescent="0.5">
      <c r="A76" s="3">
        <v>412</v>
      </c>
      <c r="B76" s="3">
        <v>69</v>
      </c>
      <c r="C76" s="3" t="str">
        <f t="shared" si="1"/>
        <v>Old</v>
      </c>
      <c r="D76" t="s">
        <v>5</v>
      </c>
      <c r="E76" t="s">
        <v>0</v>
      </c>
      <c r="F76" s="1">
        <v>45285</v>
      </c>
      <c r="G76" s="10">
        <v>12378.87</v>
      </c>
      <c r="H76">
        <v>2</v>
      </c>
    </row>
    <row r="77" spans="1:8" x14ac:dyDescent="0.5">
      <c r="A77" s="3">
        <v>5</v>
      </c>
      <c r="B77" s="3">
        <v>56</v>
      </c>
      <c r="C77" s="3" t="str">
        <f t="shared" si="1"/>
        <v>Old</v>
      </c>
      <c r="D77" t="s">
        <v>3</v>
      </c>
      <c r="E77" t="s">
        <v>4</v>
      </c>
      <c r="F77" s="1">
        <v>45122</v>
      </c>
      <c r="G77" s="10">
        <v>41159.660000000003</v>
      </c>
      <c r="H77">
        <v>23</v>
      </c>
    </row>
    <row r="78" spans="1:8" x14ac:dyDescent="0.5">
      <c r="A78" s="3">
        <v>276</v>
      </c>
      <c r="B78" s="3">
        <v>24</v>
      </c>
      <c r="C78" s="3" t="str">
        <f t="shared" si="1"/>
        <v>Young</v>
      </c>
      <c r="D78" t="s">
        <v>5</v>
      </c>
      <c r="E78" t="s">
        <v>2</v>
      </c>
      <c r="F78" s="1">
        <v>44980</v>
      </c>
      <c r="G78" s="10">
        <v>51811.68</v>
      </c>
      <c r="H78">
        <v>10</v>
      </c>
    </row>
    <row r="79" spans="1:8" x14ac:dyDescent="0.5">
      <c r="A79" s="3">
        <v>34</v>
      </c>
      <c r="B79" s="3">
        <v>46</v>
      </c>
      <c r="C79" s="3" t="str">
        <f t="shared" si="1"/>
        <v>Middle Age</v>
      </c>
      <c r="D79" t="s">
        <v>3</v>
      </c>
      <c r="E79" t="s">
        <v>0</v>
      </c>
      <c r="F79" s="1">
        <v>45190</v>
      </c>
      <c r="G79" s="10">
        <v>76087.08</v>
      </c>
      <c r="H79">
        <v>8</v>
      </c>
    </row>
    <row r="80" spans="1:8" x14ac:dyDescent="0.5">
      <c r="A80" s="3">
        <v>124</v>
      </c>
      <c r="B80" s="3">
        <v>90</v>
      </c>
      <c r="C80" s="3" t="str">
        <f t="shared" si="1"/>
        <v>Old</v>
      </c>
      <c r="D80" t="s">
        <v>5</v>
      </c>
      <c r="E80" t="s">
        <v>0</v>
      </c>
      <c r="F80" s="1">
        <v>45255</v>
      </c>
      <c r="G80" s="10">
        <v>66703.05</v>
      </c>
      <c r="H80">
        <v>15</v>
      </c>
    </row>
    <row r="81" spans="1:8" x14ac:dyDescent="0.5">
      <c r="A81" s="3">
        <v>287</v>
      </c>
      <c r="B81" s="3">
        <v>37</v>
      </c>
      <c r="C81" s="3" t="str">
        <f t="shared" si="1"/>
        <v>Middle Age</v>
      </c>
      <c r="D81" t="s">
        <v>3</v>
      </c>
      <c r="E81" t="s">
        <v>0</v>
      </c>
      <c r="F81" s="1">
        <v>44951</v>
      </c>
      <c r="G81" s="10">
        <v>80117.87</v>
      </c>
      <c r="H81">
        <v>23</v>
      </c>
    </row>
    <row r="82" spans="1:8" x14ac:dyDescent="0.5">
      <c r="A82" s="3">
        <v>186</v>
      </c>
      <c r="B82" s="3">
        <v>95</v>
      </c>
      <c r="C82" s="3" t="str">
        <f t="shared" si="1"/>
        <v>Old</v>
      </c>
      <c r="D82" t="s">
        <v>5</v>
      </c>
      <c r="E82" t="s">
        <v>4</v>
      </c>
      <c r="F82" s="1">
        <v>45057</v>
      </c>
      <c r="G82" s="10">
        <v>37681.599999999999</v>
      </c>
      <c r="H82">
        <v>2</v>
      </c>
    </row>
    <row r="83" spans="1:8" x14ac:dyDescent="0.5">
      <c r="A83" s="3">
        <v>230</v>
      </c>
      <c r="B83" s="3">
        <v>90</v>
      </c>
      <c r="C83" s="3" t="str">
        <f t="shared" si="1"/>
        <v>Old</v>
      </c>
      <c r="D83" t="s">
        <v>5</v>
      </c>
      <c r="E83" t="s">
        <v>2</v>
      </c>
      <c r="F83" s="1">
        <v>45055</v>
      </c>
      <c r="G83" s="10">
        <v>83629.48</v>
      </c>
      <c r="H83">
        <v>2</v>
      </c>
    </row>
    <row r="84" spans="1:8" x14ac:dyDescent="0.5">
      <c r="A84" s="3">
        <v>330</v>
      </c>
      <c r="B84" s="3">
        <v>47</v>
      </c>
      <c r="C84" s="3" t="str">
        <f t="shared" si="1"/>
        <v>Middle Age</v>
      </c>
      <c r="D84" t="s">
        <v>3</v>
      </c>
      <c r="E84" t="s">
        <v>0</v>
      </c>
      <c r="F84" s="1">
        <v>44979</v>
      </c>
      <c r="G84" s="10">
        <v>9039.69</v>
      </c>
      <c r="H84">
        <v>29</v>
      </c>
    </row>
    <row r="85" spans="1:8" x14ac:dyDescent="0.5">
      <c r="A85" s="3">
        <v>478</v>
      </c>
      <c r="B85" s="3">
        <v>49</v>
      </c>
      <c r="C85" s="3" t="str">
        <f t="shared" si="1"/>
        <v>Middle Age</v>
      </c>
      <c r="D85" t="s">
        <v>3</v>
      </c>
      <c r="E85" t="s">
        <v>1</v>
      </c>
      <c r="F85" s="1">
        <v>45046</v>
      </c>
      <c r="G85" s="10">
        <v>87822.17</v>
      </c>
      <c r="H85">
        <v>3</v>
      </c>
    </row>
    <row r="86" spans="1:8" x14ac:dyDescent="0.5">
      <c r="A86" s="3">
        <v>466</v>
      </c>
      <c r="B86" s="3">
        <v>84</v>
      </c>
      <c r="C86" s="3" t="str">
        <f t="shared" si="1"/>
        <v>Old</v>
      </c>
      <c r="D86" t="s">
        <v>5</v>
      </c>
      <c r="E86" t="s">
        <v>1</v>
      </c>
      <c r="F86" s="1">
        <v>44937</v>
      </c>
      <c r="G86" s="10">
        <v>15084.19</v>
      </c>
      <c r="H86">
        <v>1</v>
      </c>
    </row>
    <row r="87" spans="1:8" x14ac:dyDescent="0.5">
      <c r="A87" s="3">
        <v>384</v>
      </c>
      <c r="B87" s="3">
        <v>90</v>
      </c>
      <c r="C87" s="3" t="str">
        <f t="shared" si="1"/>
        <v>Old</v>
      </c>
      <c r="D87" t="s">
        <v>5</v>
      </c>
      <c r="E87" t="s">
        <v>6</v>
      </c>
      <c r="F87" s="1">
        <v>45089</v>
      </c>
      <c r="G87" s="10">
        <v>37356.74</v>
      </c>
      <c r="H87">
        <v>13</v>
      </c>
    </row>
    <row r="88" spans="1:8" x14ac:dyDescent="0.5">
      <c r="A88" s="3">
        <v>416</v>
      </c>
      <c r="B88" s="3">
        <v>69</v>
      </c>
      <c r="C88" s="3" t="str">
        <f t="shared" si="1"/>
        <v>Old</v>
      </c>
      <c r="D88" t="s">
        <v>3</v>
      </c>
      <c r="E88" t="s">
        <v>4</v>
      </c>
      <c r="F88" s="1">
        <v>45150</v>
      </c>
      <c r="G88" s="10">
        <v>324.13</v>
      </c>
      <c r="H88">
        <v>0</v>
      </c>
    </row>
    <row r="89" spans="1:8" x14ac:dyDescent="0.5">
      <c r="A89" s="3">
        <v>84</v>
      </c>
      <c r="B89" s="3">
        <v>23</v>
      </c>
      <c r="C89" s="3" t="str">
        <f t="shared" si="1"/>
        <v>Young</v>
      </c>
      <c r="D89" t="s">
        <v>5</v>
      </c>
      <c r="E89" t="s">
        <v>2</v>
      </c>
      <c r="F89" s="1">
        <v>45320</v>
      </c>
      <c r="G89" s="10">
        <v>6013.73</v>
      </c>
      <c r="H89">
        <v>18</v>
      </c>
    </row>
    <row r="90" spans="1:8" x14ac:dyDescent="0.5">
      <c r="A90" s="3">
        <v>435</v>
      </c>
      <c r="B90" s="3">
        <v>75</v>
      </c>
      <c r="C90" s="3" t="str">
        <f t="shared" si="1"/>
        <v>Old</v>
      </c>
      <c r="D90" t="s">
        <v>5</v>
      </c>
      <c r="E90" t="s">
        <v>2</v>
      </c>
      <c r="F90" s="1">
        <v>45104</v>
      </c>
      <c r="G90" s="10">
        <v>73979.460000000006</v>
      </c>
      <c r="H90">
        <v>8</v>
      </c>
    </row>
    <row r="91" spans="1:8" x14ac:dyDescent="0.5">
      <c r="A91" s="3">
        <v>22</v>
      </c>
      <c r="B91" s="3">
        <v>75</v>
      </c>
      <c r="C91" s="3" t="str">
        <f t="shared" si="1"/>
        <v>Old</v>
      </c>
      <c r="D91" t="s">
        <v>5</v>
      </c>
      <c r="E91" t="s">
        <v>1</v>
      </c>
      <c r="F91" s="1">
        <v>45207</v>
      </c>
      <c r="G91" s="10">
        <v>68404.460000000006</v>
      </c>
      <c r="H91">
        <v>0</v>
      </c>
    </row>
    <row r="92" spans="1:8" x14ac:dyDescent="0.5">
      <c r="A92" s="3">
        <v>120</v>
      </c>
      <c r="B92" s="3">
        <v>71</v>
      </c>
      <c r="C92" s="3" t="str">
        <f t="shared" si="1"/>
        <v>Old</v>
      </c>
      <c r="D92" t="s">
        <v>3</v>
      </c>
      <c r="E92" t="s">
        <v>4</v>
      </c>
      <c r="F92" s="1">
        <v>45106</v>
      </c>
      <c r="G92" s="10">
        <v>69347.240000000005</v>
      </c>
      <c r="H92">
        <v>13</v>
      </c>
    </row>
    <row r="93" spans="1:8" x14ac:dyDescent="0.5">
      <c r="A93" s="3">
        <v>68</v>
      </c>
      <c r="B93" s="3">
        <v>62</v>
      </c>
      <c r="C93" s="3" t="str">
        <f t="shared" si="1"/>
        <v>Old</v>
      </c>
      <c r="D93" t="s">
        <v>3</v>
      </c>
      <c r="E93" t="s">
        <v>0</v>
      </c>
      <c r="F93" s="1">
        <v>45145</v>
      </c>
      <c r="G93" s="10">
        <v>52651.93</v>
      </c>
      <c r="H93">
        <v>17</v>
      </c>
    </row>
    <row r="94" spans="1:8" x14ac:dyDescent="0.5">
      <c r="A94" s="3">
        <v>204</v>
      </c>
      <c r="B94" s="3">
        <v>45</v>
      </c>
      <c r="C94" s="3" t="str">
        <f t="shared" si="1"/>
        <v>Middle Age</v>
      </c>
      <c r="D94" t="s">
        <v>3</v>
      </c>
      <c r="E94" t="s">
        <v>1</v>
      </c>
      <c r="F94" s="1">
        <v>45023</v>
      </c>
      <c r="G94" s="10">
        <v>12860.3</v>
      </c>
      <c r="H94">
        <v>7</v>
      </c>
    </row>
    <row r="95" spans="1:8" x14ac:dyDescent="0.5">
      <c r="A95" s="3">
        <v>443</v>
      </c>
      <c r="B95" s="3">
        <v>21</v>
      </c>
      <c r="C95" s="3" t="str">
        <f t="shared" si="1"/>
        <v>Young</v>
      </c>
      <c r="D95" t="s">
        <v>3</v>
      </c>
      <c r="E95" t="s">
        <v>1</v>
      </c>
      <c r="F95" s="1">
        <v>45076</v>
      </c>
      <c r="G95" s="10">
        <v>26225.42</v>
      </c>
      <c r="H95">
        <v>11</v>
      </c>
    </row>
    <row r="96" spans="1:8" x14ac:dyDescent="0.5">
      <c r="A96" s="3">
        <v>273</v>
      </c>
      <c r="B96" s="3">
        <v>56</v>
      </c>
      <c r="C96" s="3" t="str">
        <f t="shared" si="1"/>
        <v>Old</v>
      </c>
      <c r="D96" t="s">
        <v>5</v>
      </c>
      <c r="E96" t="s">
        <v>1</v>
      </c>
      <c r="F96" s="1">
        <v>45318</v>
      </c>
      <c r="G96" s="10">
        <v>54477.58</v>
      </c>
      <c r="H96">
        <v>0</v>
      </c>
    </row>
    <row r="97" spans="1:8" x14ac:dyDescent="0.5">
      <c r="A97" s="3">
        <v>13</v>
      </c>
      <c r="B97" s="3">
        <v>90</v>
      </c>
      <c r="C97" s="3" t="str">
        <f t="shared" si="1"/>
        <v>Old</v>
      </c>
      <c r="D97" t="s">
        <v>5</v>
      </c>
      <c r="E97" t="s">
        <v>2</v>
      </c>
      <c r="F97" s="1">
        <v>45301</v>
      </c>
      <c r="G97" s="10">
        <v>13184.37</v>
      </c>
      <c r="H97">
        <v>14</v>
      </c>
    </row>
    <row r="98" spans="1:8" x14ac:dyDescent="0.5">
      <c r="A98" s="3">
        <v>350</v>
      </c>
      <c r="B98" s="3">
        <v>32</v>
      </c>
      <c r="C98" s="3" t="str">
        <f t="shared" si="1"/>
        <v>Middle Age</v>
      </c>
      <c r="D98" t="s">
        <v>3</v>
      </c>
      <c r="E98" t="s">
        <v>6</v>
      </c>
      <c r="F98" s="1">
        <v>45210</v>
      </c>
      <c r="G98" s="10">
        <v>76827.69</v>
      </c>
      <c r="H98">
        <v>6</v>
      </c>
    </row>
    <row r="99" spans="1:8" x14ac:dyDescent="0.5">
      <c r="A99" s="3">
        <v>108</v>
      </c>
      <c r="B99" s="3">
        <v>84</v>
      </c>
      <c r="C99" s="3" t="str">
        <f t="shared" si="1"/>
        <v>Old</v>
      </c>
      <c r="D99" t="s">
        <v>5</v>
      </c>
      <c r="E99" t="s">
        <v>1</v>
      </c>
      <c r="F99" s="1">
        <v>45197</v>
      </c>
      <c r="G99" s="10">
        <v>60663.82</v>
      </c>
      <c r="H99">
        <v>27</v>
      </c>
    </row>
    <row r="100" spans="1:8" x14ac:dyDescent="0.5">
      <c r="A100" s="3">
        <v>234</v>
      </c>
      <c r="B100" s="3">
        <v>94</v>
      </c>
      <c r="C100" s="3" t="str">
        <f t="shared" si="1"/>
        <v>Old</v>
      </c>
      <c r="D100" t="s">
        <v>5</v>
      </c>
      <c r="E100" t="s">
        <v>6</v>
      </c>
      <c r="F100" s="1">
        <v>44985</v>
      </c>
      <c r="G100" s="10">
        <v>91962.17</v>
      </c>
      <c r="H100">
        <v>29</v>
      </c>
    </row>
    <row r="101" spans="1:8" x14ac:dyDescent="0.5">
      <c r="A101" s="3">
        <v>394</v>
      </c>
      <c r="B101" s="3">
        <v>81</v>
      </c>
      <c r="C101" s="3" t="str">
        <f t="shared" si="1"/>
        <v>Old</v>
      </c>
      <c r="D101" t="s">
        <v>3</v>
      </c>
      <c r="E101" t="s">
        <v>6</v>
      </c>
      <c r="F101" s="1">
        <v>45122</v>
      </c>
      <c r="G101" s="10">
        <v>23895.47</v>
      </c>
      <c r="H101">
        <v>29</v>
      </c>
    </row>
    <row r="102" spans="1:8" x14ac:dyDescent="0.5">
      <c r="A102" s="3">
        <v>333</v>
      </c>
      <c r="B102" s="3">
        <v>23</v>
      </c>
      <c r="C102" s="3" t="str">
        <f t="shared" si="1"/>
        <v>Young</v>
      </c>
      <c r="D102" t="s">
        <v>5</v>
      </c>
      <c r="E102" t="s">
        <v>0</v>
      </c>
      <c r="F102" s="1">
        <v>45030</v>
      </c>
      <c r="G102" s="10">
        <v>11718.75</v>
      </c>
      <c r="H102">
        <v>17</v>
      </c>
    </row>
    <row r="103" spans="1:8" x14ac:dyDescent="0.5">
      <c r="A103" s="3">
        <v>324</v>
      </c>
      <c r="B103" s="3">
        <v>60</v>
      </c>
      <c r="C103" s="3" t="str">
        <f t="shared" si="1"/>
        <v>Old</v>
      </c>
      <c r="D103" t="s">
        <v>5</v>
      </c>
      <c r="E103" t="s">
        <v>0</v>
      </c>
      <c r="F103" s="1">
        <v>45213</v>
      </c>
      <c r="G103" s="10">
        <v>44637.04</v>
      </c>
      <c r="H103">
        <v>17</v>
      </c>
    </row>
    <row r="104" spans="1:8" x14ac:dyDescent="0.5">
      <c r="A104" s="3">
        <v>111</v>
      </c>
      <c r="B104" s="3">
        <v>26</v>
      </c>
      <c r="C104" s="3" t="str">
        <f t="shared" si="1"/>
        <v>Young</v>
      </c>
      <c r="D104" t="s">
        <v>3</v>
      </c>
      <c r="E104" t="s">
        <v>4</v>
      </c>
      <c r="F104" s="1">
        <v>44968</v>
      </c>
      <c r="G104" s="10">
        <v>22875.72</v>
      </c>
      <c r="H104">
        <v>2</v>
      </c>
    </row>
    <row r="105" spans="1:8" x14ac:dyDescent="0.5">
      <c r="A105" s="3">
        <v>143</v>
      </c>
      <c r="B105" s="3">
        <v>36</v>
      </c>
      <c r="C105" s="3" t="str">
        <f t="shared" si="1"/>
        <v>Middle Age</v>
      </c>
      <c r="D105" t="s">
        <v>3</v>
      </c>
      <c r="E105" t="s">
        <v>0</v>
      </c>
      <c r="F105" s="1">
        <v>45180</v>
      </c>
      <c r="G105" s="10">
        <v>96538.22</v>
      </c>
      <c r="H105">
        <v>22</v>
      </c>
    </row>
    <row r="106" spans="1:8" x14ac:dyDescent="0.5">
      <c r="A106" s="3">
        <v>125</v>
      </c>
      <c r="B106" s="3">
        <v>41</v>
      </c>
      <c r="C106" s="3" t="str">
        <f t="shared" si="1"/>
        <v>Middle Age</v>
      </c>
      <c r="D106" t="s">
        <v>3</v>
      </c>
      <c r="E106" t="s">
        <v>0</v>
      </c>
      <c r="F106" s="1">
        <v>45113</v>
      </c>
      <c r="G106" s="10">
        <v>62283.08</v>
      </c>
      <c r="H106">
        <v>18</v>
      </c>
    </row>
    <row r="107" spans="1:8" x14ac:dyDescent="0.5">
      <c r="A107" s="3">
        <v>277</v>
      </c>
      <c r="B107" s="3">
        <v>25</v>
      </c>
      <c r="C107" s="3" t="str">
        <f t="shared" si="1"/>
        <v>Young</v>
      </c>
      <c r="D107" t="s">
        <v>3</v>
      </c>
      <c r="E107" t="s">
        <v>6</v>
      </c>
      <c r="F107" s="1">
        <v>45300</v>
      </c>
      <c r="G107" s="10">
        <v>98372.65</v>
      </c>
      <c r="H107">
        <v>2</v>
      </c>
    </row>
    <row r="108" spans="1:8" x14ac:dyDescent="0.5">
      <c r="A108" s="3">
        <v>310</v>
      </c>
      <c r="B108" s="3">
        <v>87</v>
      </c>
      <c r="C108" s="3" t="str">
        <f t="shared" si="1"/>
        <v>Old</v>
      </c>
      <c r="D108" t="s">
        <v>5</v>
      </c>
      <c r="E108" t="s">
        <v>2</v>
      </c>
      <c r="F108" s="1">
        <v>45170</v>
      </c>
      <c r="G108" s="10">
        <v>55136.63</v>
      </c>
      <c r="H108">
        <v>16</v>
      </c>
    </row>
    <row r="109" spans="1:8" x14ac:dyDescent="0.5">
      <c r="A109" s="3">
        <v>400</v>
      </c>
      <c r="B109" s="3">
        <v>90</v>
      </c>
      <c r="C109" s="3" t="str">
        <f t="shared" si="1"/>
        <v>Old</v>
      </c>
      <c r="D109" t="s">
        <v>3</v>
      </c>
      <c r="E109" t="s">
        <v>0</v>
      </c>
      <c r="F109" s="1">
        <v>45325</v>
      </c>
      <c r="G109" s="10">
        <v>73602.81</v>
      </c>
      <c r="H109">
        <v>8</v>
      </c>
    </row>
    <row r="110" spans="1:8" x14ac:dyDescent="0.5">
      <c r="A110" s="3">
        <v>316</v>
      </c>
      <c r="B110" s="3">
        <v>1</v>
      </c>
      <c r="C110" s="3" t="str">
        <f t="shared" si="1"/>
        <v>Young</v>
      </c>
      <c r="D110" t="s">
        <v>5</v>
      </c>
      <c r="E110" t="s">
        <v>4</v>
      </c>
      <c r="F110" s="1">
        <v>45137</v>
      </c>
      <c r="G110" s="10">
        <v>93751.02</v>
      </c>
      <c r="H110">
        <v>17</v>
      </c>
    </row>
    <row r="111" spans="1:8" x14ac:dyDescent="0.5">
      <c r="A111" s="3">
        <v>36</v>
      </c>
      <c r="B111" s="3">
        <v>94</v>
      </c>
      <c r="C111" s="3" t="str">
        <f t="shared" si="1"/>
        <v>Old</v>
      </c>
      <c r="D111" t="s">
        <v>5</v>
      </c>
      <c r="E111" t="s">
        <v>1</v>
      </c>
      <c r="F111" s="1">
        <v>45049</v>
      </c>
      <c r="G111" s="10">
        <v>89961.96</v>
      </c>
      <c r="H111">
        <v>7</v>
      </c>
    </row>
    <row r="112" spans="1:8" x14ac:dyDescent="0.5">
      <c r="A112" s="3">
        <v>261</v>
      </c>
      <c r="B112" s="3">
        <v>43</v>
      </c>
      <c r="C112" s="3" t="str">
        <f t="shared" si="1"/>
        <v>Middle Age</v>
      </c>
      <c r="D112" t="s">
        <v>3</v>
      </c>
      <c r="E112" t="s">
        <v>1</v>
      </c>
      <c r="F112" s="1">
        <v>45068</v>
      </c>
      <c r="G112" s="10">
        <v>12838.69</v>
      </c>
      <c r="H112">
        <v>5</v>
      </c>
    </row>
    <row r="113" spans="1:8" x14ac:dyDescent="0.5">
      <c r="A113" s="3">
        <v>300</v>
      </c>
      <c r="B113" s="3">
        <v>86</v>
      </c>
      <c r="C113" s="3" t="str">
        <f t="shared" si="1"/>
        <v>Old</v>
      </c>
      <c r="D113" t="s">
        <v>3</v>
      </c>
      <c r="E113" t="s">
        <v>1</v>
      </c>
      <c r="F113" s="1">
        <v>45274</v>
      </c>
      <c r="G113" s="10">
        <v>3317.45</v>
      </c>
      <c r="H113">
        <v>16</v>
      </c>
    </row>
    <row r="114" spans="1:8" x14ac:dyDescent="0.5">
      <c r="A114" s="3">
        <v>457</v>
      </c>
      <c r="B114" s="3">
        <v>95</v>
      </c>
      <c r="C114" s="3" t="str">
        <f t="shared" si="1"/>
        <v>Old</v>
      </c>
      <c r="D114" t="s">
        <v>3</v>
      </c>
      <c r="E114" t="s">
        <v>6</v>
      </c>
      <c r="F114" s="1">
        <v>44953</v>
      </c>
      <c r="G114" s="10">
        <v>12025.29</v>
      </c>
      <c r="H114">
        <v>17</v>
      </c>
    </row>
    <row r="115" spans="1:8" x14ac:dyDescent="0.5">
      <c r="A115" s="3">
        <v>251</v>
      </c>
      <c r="B115" s="3">
        <v>44</v>
      </c>
      <c r="C115" s="3" t="str">
        <f t="shared" si="1"/>
        <v>Middle Age</v>
      </c>
      <c r="D115" t="s">
        <v>3</v>
      </c>
      <c r="E115" t="s">
        <v>0</v>
      </c>
      <c r="F115" s="1">
        <v>45164</v>
      </c>
      <c r="G115" s="10">
        <v>71370.31</v>
      </c>
      <c r="H115">
        <v>17</v>
      </c>
    </row>
    <row r="116" spans="1:8" x14ac:dyDescent="0.5">
      <c r="A116" s="3">
        <v>55</v>
      </c>
      <c r="B116" s="3">
        <v>98</v>
      </c>
      <c r="C116" s="3" t="str">
        <f t="shared" si="1"/>
        <v>Old</v>
      </c>
      <c r="D116" t="s">
        <v>3</v>
      </c>
      <c r="E116" t="s">
        <v>0</v>
      </c>
      <c r="F116" s="1">
        <v>44961</v>
      </c>
      <c r="G116" s="10">
        <v>35895.43</v>
      </c>
      <c r="H116">
        <v>28</v>
      </c>
    </row>
    <row r="117" spans="1:8" x14ac:dyDescent="0.5">
      <c r="A117" s="3">
        <v>44</v>
      </c>
      <c r="B117" s="3">
        <v>85</v>
      </c>
      <c r="C117" s="3" t="str">
        <f t="shared" si="1"/>
        <v>Old</v>
      </c>
      <c r="D117" t="s">
        <v>5</v>
      </c>
      <c r="E117" t="s">
        <v>1</v>
      </c>
      <c r="F117" s="1">
        <v>45214</v>
      </c>
      <c r="G117" s="10">
        <v>21559.17</v>
      </c>
      <c r="H117">
        <v>7</v>
      </c>
    </row>
    <row r="118" spans="1:8" x14ac:dyDescent="0.5">
      <c r="A118" s="3">
        <v>496</v>
      </c>
      <c r="B118" s="3">
        <v>23</v>
      </c>
      <c r="C118" s="3" t="str">
        <f t="shared" si="1"/>
        <v>Young</v>
      </c>
      <c r="D118" t="s">
        <v>3</v>
      </c>
      <c r="E118" t="s">
        <v>4</v>
      </c>
      <c r="F118" s="1">
        <v>45111</v>
      </c>
      <c r="G118" s="10">
        <v>78656.149999999994</v>
      </c>
      <c r="H118">
        <v>27</v>
      </c>
    </row>
    <row r="119" spans="1:8" x14ac:dyDescent="0.5">
      <c r="A119" s="3">
        <v>216</v>
      </c>
      <c r="B119" s="3">
        <v>21</v>
      </c>
      <c r="C119" s="3" t="str">
        <f t="shared" si="1"/>
        <v>Young</v>
      </c>
      <c r="D119" t="s">
        <v>5</v>
      </c>
      <c r="E119" t="s">
        <v>4</v>
      </c>
      <c r="F119" s="1">
        <v>45215</v>
      </c>
      <c r="G119" s="10">
        <v>72930.53</v>
      </c>
      <c r="H119">
        <v>29</v>
      </c>
    </row>
    <row r="120" spans="1:8" x14ac:dyDescent="0.5">
      <c r="A120" s="3">
        <v>462</v>
      </c>
      <c r="B120" s="3">
        <v>24</v>
      </c>
      <c r="C120" s="3" t="str">
        <f t="shared" si="1"/>
        <v>Young</v>
      </c>
      <c r="D120" t="s">
        <v>3</v>
      </c>
      <c r="E120" t="s">
        <v>1</v>
      </c>
      <c r="F120" s="1">
        <v>45250</v>
      </c>
      <c r="G120" s="10">
        <v>50142.46</v>
      </c>
      <c r="H120">
        <v>14</v>
      </c>
    </row>
    <row r="121" spans="1:8" x14ac:dyDescent="0.5">
      <c r="A121" s="3">
        <v>435</v>
      </c>
      <c r="B121" s="3">
        <v>90</v>
      </c>
      <c r="C121" s="3" t="str">
        <f t="shared" si="1"/>
        <v>Old</v>
      </c>
      <c r="D121" t="s">
        <v>5</v>
      </c>
      <c r="E121" t="s">
        <v>4</v>
      </c>
      <c r="F121" s="1">
        <v>45093</v>
      </c>
      <c r="G121" s="10">
        <v>94357.59</v>
      </c>
      <c r="H121">
        <v>16</v>
      </c>
    </row>
    <row r="122" spans="1:8" x14ac:dyDescent="0.5">
      <c r="A122" s="3">
        <v>40</v>
      </c>
      <c r="B122" s="3">
        <v>101</v>
      </c>
      <c r="C122" s="3" t="str">
        <f t="shared" si="1"/>
        <v>Old</v>
      </c>
      <c r="D122" t="s">
        <v>5</v>
      </c>
      <c r="E122" t="s">
        <v>1</v>
      </c>
      <c r="F122" s="1">
        <v>45276</v>
      </c>
      <c r="G122" s="10">
        <v>24714.67</v>
      </c>
      <c r="H122">
        <v>0</v>
      </c>
    </row>
    <row r="123" spans="1:8" x14ac:dyDescent="0.5">
      <c r="A123" s="3">
        <v>132</v>
      </c>
      <c r="B123" s="3">
        <v>47</v>
      </c>
      <c r="C123" s="3" t="str">
        <f t="shared" si="1"/>
        <v>Middle Age</v>
      </c>
      <c r="D123" t="s">
        <v>5</v>
      </c>
      <c r="E123" t="s">
        <v>0</v>
      </c>
      <c r="F123" s="1">
        <v>44928</v>
      </c>
      <c r="G123" s="10">
        <v>71492.61</v>
      </c>
      <c r="H123">
        <v>23</v>
      </c>
    </row>
    <row r="124" spans="1:8" x14ac:dyDescent="0.5">
      <c r="A124" s="3">
        <v>414</v>
      </c>
      <c r="B124" s="3">
        <v>23</v>
      </c>
      <c r="C124" s="3" t="str">
        <f t="shared" si="1"/>
        <v>Young</v>
      </c>
      <c r="D124" t="s">
        <v>5</v>
      </c>
      <c r="E124" t="s">
        <v>4</v>
      </c>
      <c r="F124" s="1">
        <v>45111</v>
      </c>
      <c r="G124" s="10">
        <v>14338.66</v>
      </c>
      <c r="H124">
        <v>9</v>
      </c>
    </row>
    <row r="125" spans="1:8" x14ac:dyDescent="0.5">
      <c r="A125" s="3">
        <v>397</v>
      </c>
      <c r="B125" s="3">
        <v>63</v>
      </c>
      <c r="C125" s="3" t="str">
        <f t="shared" si="1"/>
        <v>Old</v>
      </c>
      <c r="D125" t="s">
        <v>5</v>
      </c>
      <c r="E125" t="s">
        <v>1</v>
      </c>
      <c r="F125" s="1">
        <v>45243</v>
      </c>
      <c r="G125" s="10">
        <v>42132.76</v>
      </c>
      <c r="H125">
        <v>24</v>
      </c>
    </row>
    <row r="126" spans="1:8" x14ac:dyDescent="0.5">
      <c r="A126" s="3">
        <v>461</v>
      </c>
      <c r="B126" s="3">
        <v>96</v>
      </c>
      <c r="C126" s="3" t="str">
        <f t="shared" si="1"/>
        <v>Old</v>
      </c>
      <c r="D126" t="s">
        <v>3</v>
      </c>
      <c r="E126" t="s">
        <v>1</v>
      </c>
      <c r="F126" s="1">
        <v>45050</v>
      </c>
      <c r="G126" s="10">
        <v>5530.67</v>
      </c>
      <c r="H126">
        <v>13</v>
      </c>
    </row>
    <row r="127" spans="1:8" x14ac:dyDescent="0.5">
      <c r="A127" s="3">
        <v>336</v>
      </c>
      <c r="B127" s="3">
        <v>87</v>
      </c>
      <c r="C127" s="3" t="str">
        <f t="shared" si="1"/>
        <v>Old</v>
      </c>
      <c r="D127" t="s">
        <v>3</v>
      </c>
      <c r="E127" t="s">
        <v>2</v>
      </c>
      <c r="F127" s="1">
        <v>45014</v>
      </c>
      <c r="G127" s="10">
        <v>15596.07</v>
      </c>
      <c r="H127">
        <v>14</v>
      </c>
    </row>
    <row r="128" spans="1:8" x14ac:dyDescent="0.5">
      <c r="A128" s="3">
        <v>286</v>
      </c>
      <c r="B128" s="3">
        <v>36</v>
      </c>
      <c r="C128" s="3" t="str">
        <f t="shared" si="1"/>
        <v>Middle Age</v>
      </c>
      <c r="D128" t="s">
        <v>5</v>
      </c>
      <c r="E128" t="s">
        <v>0</v>
      </c>
      <c r="F128" s="1">
        <v>44931</v>
      </c>
      <c r="G128" s="10">
        <v>63073.07</v>
      </c>
      <c r="H128">
        <v>22</v>
      </c>
    </row>
    <row r="129" spans="1:8" x14ac:dyDescent="0.5">
      <c r="A129" s="3">
        <v>137</v>
      </c>
      <c r="B129" s="3">
        <v>74</v>
      </c>
      <c r="C129" s="3" t="str">
        <f t="shared" si="1"/>
        <v>Old</v>
      </c>
      <c r="D129" t="s">
        <v>5</v>
      </c>
      <c r="E129" t="s">
        <v>2</v>
      </c>
      <c r="F129" s="1">
        <v>45227</v>
      </c>
      <c r="G129" s="10">
        <v>85124.51</v>
      </c>
      <c r="H129">
        <v>25</v>
      </c>
    </row>
    <row r="130" spans="1:8" x14ac:dyDescent="0.5">
      <c r="A130" s="3">
        <v>55</v>
      </c>
      <c r="B130" s="3">
        <v>87</v>
      </c>
      <c r="C130" s="3" t="str">
        <f t="shared" ref="C130:C193" si="2">IF(B130&lt;=30,"Young", IF(B130&lt;=55,"Middle Age",IF(B130&gt;55,"Old","Not found")))</f>
        <v>Old</v>
      </c>
      <c r="D130" t="s">
        <v>3</v>
      </c>
      <c r="E130" t="s">
        <v>0</v>
      </c>
      <c r="F130" s="1">
        <v>45008</v>
      </c>
      <c r="G130" s="10">
        <v>34443.800000000003</v>
      </c>
      <c r="H130">
        <v>5</v>
      </c>
    </row>
    <row r="131" spans="1:8" x14ac:dyDescent="0.5">
      <c r="A131" s="3">
        <v>167</v>
      </c>
      <c r="B131" s="3">
        <v>23</v>
      </c>
      <c r="C131" s="3" t="str">
        <f t="shared" si="2"/>
        <v>Young</v>
      </c>
      <c r="D131" t="s">
        <v>5</v>
      </c>
      <c r="E131" t="s">
        <v>1</v>
      </c>
      <c r="F131" s="1">
        <v>44982</v>
      </c>
      <c r="G131" s="10">
        <v>90685.84</v>
      </c>
      <c r="H131">
        <v>25</v>
      </c>
    </row>
    <row r="132" spans="1:8" x14ac:dyDescent="0.5">
      <c r="A132" s="3">
        <v>374</v>
      </c>
      <c r="B132" s="3">
        <v>90</v>
      </c>
      <c r="C132" s="3" t="str">
        <f t="shared" si="2"/>
        <v>Old</v>
      </c>
      <c r="D132" t="s">
        <v>5</v>
      </c>
      <c r="E132" t="s">
        <v>2</v>
      </c>
      <c r="F132" s="1">
        <v>45054</v>
      </c>
      <c r="G132" s="10">
        <v>46879.5</v>
      </c>
      <c r="H132">
        <v>2</v>
      </c>
    </row>
    <row r="133" spans="1:8" x14ac:dyDescent="0.5">
      <c r="A133" s="3">
        <v>199</v>
      </c>
      <c r="B133" s="3">
        <v>23</v>
      </c>
      <c r="C133" s="3" t="str">
        <f t="shared" si="2"/>
        <v>Young</v>
      </c>
      <c r="D133" t="s">
        <v>5</v>
      </c>
      <c r="E133" t="s">
        <v>2</v>
      </c>
      <c r="F133" s="1">
        <v>45061</v>
      </c>
      <c r="G133" s="10">
        <v>41078.51</v>
      </c>
      <c r="H133">
        <v>7</v>
      </c>
    </row>
    <row r="134" spans="1:8" x14ac:dyDescent="0.5">
      <c r="A134" s="3">
        <v>150</v>
      </c>
      <c r="B134" s="3">
        <v>24</v>
      </c>
      <c r="C134" s="3" t="str">
        <f t="shared" si="2"/>
        <v>Young</v>
      </c>
      <c r="D134" t="s">
        <v>5</v>
      </c>
      <c r="E134" t="s">
        <v>1</v>
      </c>
      <c r="F134" s="1">
        <v>45188</v>
      </c>
      <c r="G134" s="10">
        <v>66425.259999999995</v>
      </c>
      <c r="H134">
        <v>21</v>
      </c>
    </row>
    <row r="135" spans="1:8" x14ac:dyDescent="0.5">
      <c r="A135" s="3">
        <v>45</v>
      </c>
      <c r="B135" s="3">
        <v>90</v>
      </c>
      <c r="C135" s="3" t="str">
        <f t="shared" si="2"/>
        <v>Old</v>
      </c>
      <c r="D135" t="s">
        <v>5</v>
      </c>
      <c r="E135" t="s">
        <v>2</v>
      </c>
      <c r="F135" s="1">
        <v>45049</v>
      </c>
      <c r="G135" s="10">
        <v>96718.43</v>
      </c>
      <c r="H135">
        <v>11</v>
      </c>
    </row>
    <row r="136" spans="1:8" x14ac:dyDescent="0.5">
      <c r="A136" s="3">
        <v>476</v>
      </c>
      <c r="B136" s="3">
        <v>23</v>
      </c>
      <c r="C136" s="3" t="str">
        <f t="shared" si="2"/>
        <v>Young</v>
      </c>
      <c r="D136" t="s">
        <v>3</v>
      </c>
      <c r="E136" t="s">
        <v>0</v>
      </c>
      <c r="F136" s="1">
        <v>45000</v>
      </c>
      <c r="G136" s="10">
        <v>72672.179999999993</v>
      </c>
      <c r="H136">
        <v>11</v>
      </c>
    </row>
    <row r="137" spans="1:8" x14ac:dyDescent="0.5">
      <c r="A137" s="3">
        <v>491</v>
      </c>
      <c r="B137" s="3">
        <v>100</v>
      </c>
      <c r="C137" s="3" t="str">
        <f t="shared" si="2"/>
        <v>Old</v>
      </c>
      <c r="D137" t="s">
        <v>5</v>
      </c>
      <c r="E137" t="s">
        <v>4</v>
      </c>
      <c r="F137" s="1">
        <v>45100</v>
      </c>
      <c r="G137" s="10">
        <v>26305.8</v>
      </c>
      <c r="H137">
        <v>2</v>
      </c>
    </row>
    <row r="138" spans="1:8" x14ac:dyDescent="0.5">
      <c r="A138" s="3">
        <v>496</v>
      </c>
      <c r="B138" s="3">
        <v>41</v>
      </c>
      <c r="C138" s="3" t="str">
        <f t="shared" si="2"/>
        <v>Middle Age</v>
      </c>
      <c r="D138" t="s">
        <v>5</v>
      </c>
      <c r="E138" t="s">
        <v>4</v>
      </c>
      <c r="F138" s="1">
        <v>45275</v>
      </c>
      <c r="G138" s="10">
        <v>57261.56</v>
      </c>
      <c r="H138">
        <v>23</v>
      </c>
    </row>
    <row r="139" spans="1:8" x14ac:dyDescent="0.5">
      <c r="A139" s="3">
        <v>198</v>
      </c>
      <c r="B139" s="3">
        <v>91</v>
      </c>
      <c r="C139" s="3" t="str">
        <f t="shared" si="2"/>
        <v>Old</v>
      </c>
      <c r="D139" t="s">
        <v>5</v>
      </c>
      <c r="E139" t="s">
        <v>4</v>
      </c>
      <c r="F139" s="1">
        <v>45026</v>
      </c>
      <c r="G139" s="10">
        <v>29435.35</v>
      </c>
      <c r="H139">
        <v>18</v>
      </c>
    </row>
    <row r="140" spans="1:8" x14ac:dyDescent="0.5">
      <c r="A140" s="3">
        <v>101</v>
      </c>
      <c r="B140" s="3">
        <v>90</v>
      </c>
      <c r="C140" s="3" t="str">
        <f t="shared" si="2"/>
        <v>Old</v>
      </c>
      <c r="D140" t="s">
        <v>5</v>
      </c>
      <c r="E140" t="s">
        <v>4</v>
      </c>
      <c r="F140" s="1">
        <v>44930</v>
      </c>
      <c r="G140" s="10">
        <v>53136.78</v>
      </c>
      <c r="H140">
        <v>16</v>
      </c>
    </row>
    <row r="141" spans="1:8" x14ac:dyDescent="0.5">
      <c r="A141" s="3">
        <v>181</v>
      </c>
      <c r="B141" s="3">
        <v>77</v>
      </c>
      <c r="C141" s="3" t="str">
        <f t="shared" si="2"/>
        <v>Old</v>
      </c>
      <c r="D141" t="s">
        <v>5</v>
      </c>
      <c r="E141" t="s">
        <v>4</v>
      </c>
      <c r="F141" s="1">
        <v>45147</v>
      </c>
      <c r="G141" s="10">
        <v>34265.56</v>
      </c>
      <c r="H141">
        <v>7</v>
      </c>
    </row>
    <row r="142" spans="1:8" x14ac:dyDescent="0.5">
      <c r="A142" s="3">
        <v>490</v>
      </c>
      <c r="B142" s="3">
        <v>62</v>
      </c>
      <c r="C142" s="3" t="str">
        <f t="shared" si="2"/>
        <v>Old</v>
      </c>
      <c r="D142" t="s">
        <v>5</v>
      </c>
      <c r="E142" t="s">
        <v>4</v>
      </c>
      <c r="F142" s="1">
        <v>45231</v>
      </c>
      <c r="G142" s="10">
        <v>52264.160000000003</v>
      </c>
      <c r="H142">
        <v>29</v>
      </c>
    </row>
    <row r="143" spans="1:8" x14ac:dyDescent="0.5">
      <c r="A143" s="3">
        <v>170</v>
      </c>
      <c r="B143" s="3">
        <v>27</v>
      </c>
      <c r="C143" s="3" t="str">
        <f t="shared" si="2"/>
        <v>Young</v>
      </c>
      <c r="D143" t="s">
        <v>5</v>
      </c>
      <c r="E143" t="s">
        <v>6</v>
      </c>
      <c r="F143" s="1">
        <v>45277</v>
      </c>
      <c r="G143" s="10">
        <v>36745.43</v>
      </c>
      <c r="H143">
        <v>29</v>
      </c>
    </row>
    <row r="144" spans="1:8" x14ac:dyDescent="0.5">
      <c r="A144" s="3">
        <v>30</v>
      </c>
      <c r="B144" s="3">
        <v>83</v>
      </c>
      <c r="C144" s="3" t="str">
        <f t="shared" si="2"/>
        <v>Old</v>
      </c>
      <c r="D144" t="s">
        <v>3</v>
      </c>
      <c r="E144" t="s">
        <v>1</v>
      </c>
      <c r="F144" s="1">
        <v>45133</v>
      </c>
      <c r="G144" s="10">
        <v>46707.88</v>
      </c>
      <c r="H144">
        <v>3</v>
      </c>
    </row>
    <row r="145" spans="1:8" x14ac:dyDescent="0.5">
      <c r="A145" s="3">
        <v>283</v>
      </c>
      <c r="B145" s="3">
        <v>90</v>
      </c>
      <c r="C145" s="3" t="str">
        <f t="shared" si="2"/>
        <v>Old</v>
      </c>
      <c r="D145" t="s">
        <v>3</v>
      </c>
      <c r="E145" t="s">
        <v>1</v>
      </c>
      <c r="F145" s="1">
        <v>45030</v>
      </c>
      <c r="G145" s="10">
        <v>75973.83</v>
      </c>
      <c r="H145">
        <v>7</v>
      </c>
    </row>
    <row r="146" spans="1:8" x14ac:dyDescent="0.5">
      <c r="A146" s="3">
        <v>321</v>
      </c>
      <c r="B146" s="3">
        <v>94</v>
      </c>
      <c r="C146" s="3" t="str">
        <f t="shared" si="2"/>
        <v>Old</v>
      </c>
      <c r="D146" t="s">
        <v>3</v>
      </c>
      <c r="E146" t="s">
        <v>2</v>
      </c>
      <c r="F146" s="1">
        <v>45075</v>
      </c>
      <c r="G146" s="10">
        <v>77183.27</v>
      </c>
      <c r="H146">
        <v>8</v>
      </c>
    </row>
    <row r="147" spans="1:8" x14ac:dyDescent="0.5">
      <c r="A147" s="3">
        <v>253</v>
      </c>
      <c r="B147" s="3">
        <v>90</v>
      </c>
      <c r="C147" s="3" t="str">
        <f t="shared" si="2"/>
        <v>Old</v>
      </c>
      <c r="D147" t="s">
        <v>5</v>
      </c>
      <c r="E147" t="s">
        <v>4</v>
      </c>
      <c r="F147" s="1">
        <v>45050</v>
      </c>
      <c r="G147" s="10">
        <v>66999.92</v>
      </c>
      <c r="H147">
        <v>11</v>
      </c>
    </row>
    <row r="148" spans="1:8" x14ac:dyDescent="0.5">
      <c r="A148" s="3">
        <v>215</v>
      </c>
      <c r="B148" s="3">
        <v>90</v>
      </c>
      <c r="C148" s="3" t="str">
        <f t="shared" si="2"/>
        <v>Old</v>
      </c>
      <c r="D148" t="s">
        <v>5</v>
      </c>
      <c r="E148" t="s">
        <v>6</v>
      </c>
      <c r="F148" s="1">
        <v>45232</v>
      </c>
      <c r="G148" s="10">
        <v>46865.21</v>
      </c>
      <c r="H148">
        <v>26</v>
      </c>
    </row>
    <row r="149" spans="1:8" x14ac:dyDescent="0.5">
      <c r="A149" s="3">
        <v>227</v>
      </c>
      <c r="B149" s="3">
        <v>51</v>
      </c>
      <c r="C149" s="3" t="str">
        <f t="shared" si="2"/>
        <v>Middle Age</v>
      </c>
      <c r="D149" t="s">
        <v>5</v>
      </c>
      <c r="E149" t="s">
        <v>6</v>
      </c>
      <c r="F149" s="1">
        <v>45219</v>
      </c>
      <c r="G149" s="10">
        <v>12104.43</v>
      </c>
      <c r="H149">
        <v>28</v>
      </c>
    </row>
    <row r="150" spans="1:8" x14ac:dyDescent="0.5">
      <c r="A150" s="3">
        <v>13</v>
      </c>
      <c r="B150" s="3">
        <v>74</v>
      </c>
      <c r="C150" s="3" t="str">
        <f t="shared" si="2"/>
        <v>Old</v>
      </c>
      <c r="D150" t="s">
        <v>5</v>
      </c>
      <c r="E150" t="s">
        <v>1</v>
      </c>
      <c r="F150" s="1">
        <v>44974</v>
      </c>
      <c r="G150" s="10">
        <v>50105.89</v>
      </c>
      <c r="H150">
        <v>7</v>
      </c>
    </row>
    <row r="151" spans="1:8" x14ac:dyDescent="0.5">
      <c r="A151" s="3">
        <v>135</v>
      </c>
      <c r="B151" s="3">
        <v>23</v>
      </c>
      <c r="C151" s="3" t="str">
        <f t="shared" si="2"/>
        <v>Young</v>
      </c>
      <c r="D151" t="s">
        <v>3</v>
      </c>
      <c r="E151" t="s">
        <v>0</v>
      </c>
      <c r="F151" s="1">
        <v>45250</v>
      </c>
      <c r="G151" s="10">
        <v>56887.25</v>
      </c>
      <c r="H151">
        <v>18</v>
      </c>
    </row>
    <row r="152" spans="1:8" x14ac:dyDescent="0.5">
      <c r="A152" s="3">
        <v>419</v>
      </c>
      <c r="B152" s="3">
        <v>69</v>
      </c>
      <c r="C152" s="3" t="str">
        <f t="shared" si="2"/>
        <v>Old</v>
      </c>
      <c r="D152" t="s">
        <v>5</v>
      </c>
      <c r="E152" t="s">
        <v>4</v>
      </c>
      <c r="F152" s="1">
        <v>45137</v>
      </c>
      <c r="G152" s="10">
        <v>55753.08</v>
      </c>
      <c r="H152">
        <v>11</v>
      </c>
    </row>
    <row r="153" spans="1:8" x14ac:dyDescent="0.5">
      <c r="A153" s="3">
        <v>444</v>
      </c>
      <c r="B153" s="3">
        <v>82</v>
      </c>
      <c r="C153" s="3" t="str">
        <f t="shared" si="2"/>
        <v>Old</v>
      </c>
      <c r="D153" t="s">
        <v>5</v>
      </c>
      <c r="E153" t="s">
        <v>1</v>
      </c>
      <c r="F153" s="1">
        <v>45205</v>
      </c>
      <c r="G153" s="10">
        <v>67334.81</v>
      </c>
      <c r="H153">
        <v>3</v>
      </c>
    </row>
    <row r="154" spans="1:8" x14ac:dyDescent="0.5">
      <c r="A154" s="3">
        <v>107</v>
      </c>
      <c r="B154" s="3">
        <v>29</v>
      </c>
      <c r="C154" s="3" t="str">
        <f t="shared" si="2"/>
        <v>Young</v>
      </c>
      <c r="D154" t="s">
        <v>3</v>
      </c>
      <c r="E154" t="s">
        <v>2</v>
      </c>
      <c r="F154" s="1">
        <v>45190</v>
      </c>
      <c r="G154" s="10">
        <v>76340.649999999994</v>
      </c>
      <c r="H154">
        <v>12</v>
      </c>
    </row>
    <row r="155" spans="1:8" x14ac:dyDescent="0.5">
      <c r="A155" s="3">
        <v>111</v>
      </c>
      <c r="B155" s="3">
        <v>23</v>
      </c>
      <c r="C155" s="3" t="str">
        <f t="shared" si="2"/>
        <v>Young</v>
      </c>
      <c r="D155" t="s">
        <v>3</v>
      </c>
      <c r="E155" t="s">
        <v>4</v>
      </c>
      <c r="F155" s="1">
        <v>45195</v>
      </c>
      <c r="G155" s="10">
        <v>17531.439999999999</v>
      </c>
      <c r="H155">
        <v>6</v>
      </c>
    </row>
    <row r="156" spans="1:8" x14ac:dyDescent="0.5">
      <c r="A156" s="3">
        <v>373</v>
      </c>
      <c r="B156" s="3">
        <v>50</v>
      </c>
      <c r="C156" s="3" t="str">
        <f t="shared" si="2"/>
        <v>Middle Age</v>
      </c>
      <c r="D156" t="s">
        <v>3</v>
      </c>
      <c r="E156" t="s">
        <v>2</v>
      </c>
      <c r="F156" s="1">
        <v>45249</v>
      </c>
      <c r="G156" s="10">
        <v>31647.95</v>
      </c>
      <c r="H156">
        <v>27</v>
      </c>
    </row>
    <row r="157" spans="1:8" x14ac:dyDescent="0.5">
      <c r="A157" s="3">
        <v>498</v>
      </c>
      <c r="B157" s="3">
        <v>47</v>
      </c>
      <c r="C157" s="3" t="str">
        <f t="shared" si="2"/>
        <v>Middle Age</v>
      </c>
      <c r="D157" t="s">
        <v>5</v>
      </c>
      <c r="E157" t="s">
        <v>4</v>
      </c>
      <c r="F157" s="1">
        <v>45091</v>
      </c>
      <c r="G157" s="10">
        <v>94637.45</v>
      </c>
      <c r="H157">
        <v>3</v>
      </c>
    </row>
    <row r="158" spans="1:8" x14ac:dyDescent="0.5">
      <c r="A158" s="3">
        <v>350</v>
      </c>
      <c r="B158" s="3">
        <v>62</v>
      </c>
      <c r="C158" s="3" t="str">
        <f t="shared" si="2"/>
        <v>Old</v>
      </c>
      <c r="D158" t="s">
        <v>3</v>
      </c>
      <c r="E158" t="s">
        <v>6</v>
      </c>
      <c r="F158" s="1">
        <v>45074</v>
      </c>
      <c r="G158" s="10">
        <v>101.41</v>
      </c>
      <c r="H158">
        <v>23</v>
      </c>
    </row>
    <row r="159" spans="1:8" x14ac:dyDescent="0.5">
      <c r="A159" s="3">
        <v>487</v>
      </c>
      <c r="B159" s="3">
        <v>103</v>
      </c>
      <c r="C159" s="3" t="str">
        <f t="shared" si="2"/>
        <v>Old</v>
      </c>
      <c r="D159" t="s">
        <v>5</v>
      </c>
      <c r="E159" t="s">
        <v>6</v>
      </c>
      <c r="F159" s="1">
        <v>45024</v>
      </c>
      <c r="G159" s="10">
        <v>75736.5</v>
      </c>
      <c r="H159">
        <v>29</v>
      </c>
    </row>
    <row r="160" spans="1:8" x14ac:dyDescent="0.5">
      <c r="A160" s="3">
        <v>235</v>
      </c>
      <c r="B160" s="3">
        <v>23</v>
      </c>
      <c r="C160" s="3" t="str">
        <f t="shared" si="2"/>
        <v>Young</v>
      </c>
      <c r="D160" t="s">
        <v>5</v>
      </c>
      <c r="E160" t="s">
        <v>4</v>
      </c>
      <c r="F160" s="1">
        <v>45077</v>
      </c>
      <c r="G160" s="10">
        <v>42013.52</v>
      </c>
      <c r="H160">
        <v>27</v>
      </c>
    </row>
    <row r="161" spans="1:8" x14ac:dyDescent="0.5">
      <c r="A161" s="3">
        <v>18</v>
      </c>
      <c r="B161" s="3">
        <v>85</v>
      </c>
      <c r="C161" s="3" t="str">
        <f t="shared" si="2"/>
        <v>Old</v>
      </c>
      <c r="D161" t="s">
        <v>5</v>
      </c>
      <c r="E161" t="s">
        <v>0</v>
      </c>
      <c r="F161" s="1">
        <v>44979</v>
      </c>
      <c r="G161" s="10">
        <v>56111.37</v>
      </c>
      <c r="H161">
        <v>0</v>
      </c>
    </row>
    <row r="162" spans="1:8" x14ac:dyDescent="0.5">
      <c r="A162" s="3">
        <v>6</v>
      </c>
      <c r="B162" s="3">
        <v>27</v>
      </c>
      <c r="C162" s="3" t="str">
        <f t="shared" si="2"/>
        <v>Young</v>
      </c>
      <c r="D162" t="s">
        <v>3</v>
      </c>
      <c r="E162" t="s">
        <v>6</v>
      </c>
      <c r="F162" s="1">
        <v>45064</v>
      </c>
      <c r="G162" s="10">
        <v>43372.86</v>
      </c>
      <c r="H162">
        <v>17</v>
      </c>
    </row>
    <row r="163" spans="1:8" x14ac:dyDescent="0.5">
      <c r="A163" s="3">
        <v>336</v>
      </c>
      <c r="B163" s="3">
        <v>23</v>
      </c>
      <c r="C163" s="3" t="str">
        <f t="shared" si="2"/>
        <v>Young</v>
      </c>
      <c r="D163" t="s">
        <v>3</v>
      </c>
      <c r="E163" t="s">
        <v>1</v>
      </c>
      <c r="F163" s="1">
        <v>44960</v>
      </c>
      <c r="G163" s="10">
        <v>73968.66</v>
      </c>
      <c r="H163">
        <v>24</v>
      </c>
    </row>
    <row r="164" spans="1:8" x14ac:dyDescent="0.5">
      <c r="A164" s="3">
        <v>50</v>
      </c>
      <c r="B164" s="3">
        <v>102</v>
      </c>
      <c r="C164" s="3" t="str">
        <f t="shared" si="2"/>
        <v>Old</v>
      </c>
      <c r="D164" t="s">
        <v>5</v>
      </c>
      <c r="E164" t="s">
        <v>6</v>
      </c>
      <c r="F164" s="1">
        <v>45187</v>
      </c>
      <c r="G164" s="10">
        <v>46839.46</v>
      </c>
      <c r="H164">
        <v>13</v>
      </c>
    </row>
    <row r="165" spans="1:8" x14ac:dyDescent="0.5">
      <c r="A165" s="3">
        <v>439</v>
      </c>
      <c r="B165" s="3">
        <v>60</v>
      </c>
      <c r="C165" s="3" t="str">
        <f t="shared" si="2"/>
        <v>Old</v>
      </c>
      <c r="D165" t="s">
        <v>5</v>
      </c>
      <c r="E165" t="s">
        <v>6</v>
      </c>
      <c r="F165" s="1">
        <v>45265</v>
      </c>
      <c r="G165" s="10">
        <v>81426.37</v>
      </c>
      <c r="H165">
        <v>13</v>
      </c>
    </row>
    <row r="166" spans="1:8" x14ac:dyDescent="0.5">
      <c r="A166" s="3">
        <v>333</v>
      </c>
      <c r="B166" s="3">
        <v>27</v>
      </c>
      <c r="C166" s="3" t="str">
        <f t="shared" si="2"/>
        <v>Young</v>
      </c>
      <c r="D166" t="s">
        <v>5</v>
      </c>
      <c r="E166" t="s">
        <v>2</v>
      </c>
      <c r="F166" s="1">
        <v>45193</v>
      </c>
      <c r="G166" s="10">
        <v>17504.47</v>
      </c>
      <c r="H166">
        <v>8</v>
      </c>
    </row>
    <row r="167" spans="1:8" x14ac:dyDescent="0.5">
      <c r="A167" s="3">
        <v>489</v>
      </c>
      <c r="B167" s="3">
        <v>81</v>
      </c>
      <c r="C167" s="3" t="str">
        <f t="shared" si="2"/>
        <v>Old</v>
      </c>
      <c r="D167" t="s">
        <v>5</v>
      </c>
      <c r="E167" t="s">
        <v>1</v>
      </c>
      <c r="F167" s="1">
        <v>45205</v>
      </c>
      <c r="G167" s="10">
        <v>87690.35</v>
      </c>
      <c r="H167">
        <v>0</v>
      </c>
    </row>
    <row r="168" spans="1:8" x14ac:dyDescent="0.5">
      <c r="A168" s="3">
        <v>477</v>
      </c>
      <c r="B168" s="3">
        <v>56</v>
      </c>
      <c r="C168" s="3" t="str">
        <f t="shared" si="2"/>
        <v>Old</v>
      </c>
      <c r="D168" t="s">
        <v>3</v>
      </c>
      <c r="E168" t="s">
        <v>1</v>
      </c>
      <c r="F168" s="1">
        <v>45266</v>
      </c>
      <c r="G168" s="10">
        <v>78075.64</v>
      </c>
      <c r="H168">
        <v>29</v>
      </c>
    </row>
    <row r="169" spans="1:8" x14ac:dyDescent="0.5">
      <c r="A169" s="3">
        <v>183</v>
      </c>
      <c r="B169" s="3">
        <v>23</v>
      </c>
      <c r="C169" s="3" t="str">
        <f t="shared" si="2"/>
        <v>Young</v>
      </c>
      <c r="D169" t="s">
        <v>5</v>
      </c>
      <c r="E169" t="s">
        <v>1</v>
      </c>
      <c r="F169" s="1">
        <v>45040</v>
      </c>
      <c r="G169" s="10">
        <v>50611.41</v>
      </c>
      <c r="H169">
        <v>8</v>
      </c>
    </row>
    <row r="170" spans="1:8" x14ac:dyDescent="0.5">
      <c r="A170" s="3">
        <v>176</v>
      </c>
      <c r="B170" s="3">
        <v>80</v>
      </c>
      <c r="C170" s="3" t="str">
        <f t="shared" si="2"/>
        <v>Old</v>
      </c>
      <c r="D170" t="s">
        <v>5</v>
      </c>
      <c r="E170" t="s">
        <v>0</v>
      </c>
      <c r="F170" s="1">
        <v>44994</v>
      </c>
      <c r="G170" s="10">
        <v>51593.59</v>
      </c>
      <c r="H170">
        <v>1</v>
      </c>
    </row>
    <row r="171" spans="1:8" x14ac:dyDescent="0.5">
      <c r="A171" s="3">
        <v>458</v>
      </c>
      <c r="B171" s="3">
        <v>95</v>
      </c>
      <c r="C171" s="3" t="str">
        <f t="shared" si="2"/>
        <v>Old</v>
      </c>
      <c r="D171" t="s">
        <v>3</v>
      </c>
      <c r="E171" t="s">
        <v>2</v>
      </c>
      <c r="F171" s="1">
        <v>45241</v>
      </c>
      <c r="G171" s="10">
        <v>49105.02</v>
      </c>
      <c r="H171">
        <v>2</v>
      </c>
    </row>
    <row r="172" spans="1:8" x14ac:dyDescent="0.5">
      <c r="A172" s="3">
        <v>88</v>
      </c>
      <c r="B172" s="3">
        <v>23</v>
      </c>
      <c r="C172" s="3" t="str">
        <f t="shared" si="2"/>
        <v>Young</v>
      </c>
      <c r="D172" t="s">
        <v>3</v>
      </c>
      <c r="E172" t="s">
        <v>0</v>
      </c>
      <c r="F172" s="1">
        <v>45125</v>
      </c>
      <c r="G172" s="10">
        <v>94316.85</v>
      </c>
      <c r="H172">
        <v>4</v>
      </c>
    </row>
    <row r="173" spans="1:8" x14ac:dyDescent="0.5">
      <c r="A173" s="3">
        <v>150</v>
      </c>
      <c r="B173" s="3">
        <v>23</v>
      </c>
      <c r="C173" s="3" t="str">
        <f t="shared" si="2"/>
        <v>Young</v>
      </c>
      <c r="D173" t="s">
        <v>5</v>
      </c>
      <c r="E173" t="s">
        <v>4</v>
      </c>
      <c r="F173" s="1">
        <v>45201</v>
      </c>
      <c r="G173" s="10">
        <v>58790.59</v>
      </c>
      <c r="H173">
        <v>1</v>
      </c>
    </row>
    <row r="174" spans="1:8" x14ac:dyDescent="0.5">
      <c r="A174" s="3">
        <v>261</v>
      </c>
      <c r="B174" s="3">
        <v>87</v>
      </c>
      <c r="C174" s="3" t="str">
        <f t="shared" si="2"/>
        <v>Old</v>
      </c>
      <c r="D174" t="s">
        <v>3</v>
      </c>
      <c r="E174" t="s">
        <v>2</v>
      </c>
      <c r="F174" s="1">
        <v>45270</v>
      </c>
      <c r="G174" s="10">
        <v>50067.09</v>
      </c>
      <c r="H174">
        <v>4</v>
      </c>
    </row>
    <row r="175" spans="1:8" x14ac:dyDescent="0.5">
      <c r="A175" s="3">
        <v>476</v>
      </c>
      <c r="B175" s="3">
        <v>23</v>
      </c>
      <c r="C175" s="3" t="str">
        <f t="shared" si="2"/>
        <v>Young</v>
      </c>
      <c r="D175" t="s">
        <v>5</v>
      </c>
      <c r="E175" t="s">
        <v>0</v>
      </c>
      <c r="F175" s="1">
        <v>45098</v>
      </c>
      <c r="G175" s="10">
        <v>24842.99</v>
      </c>
      <c r="H175">
        <v>18</v>
      </c>
    </row>
    <row r="176" spans="1:8" x14ac:dyDescent="0.5">
      <c r="A176" s="3">
        <v>77</v>
      </c>
      <c r="B176" s="3">
        <v>23</v>
      </c>
      <c r="C176" s="3" t="str">
        <f t="shared" si="2"/>
        <v>Young</v>
      </c>
      <c r="D176" t="s">
        <v>3</v>
      </c>
      <c r="E176" t="s">
        <v>2</v>
      </c>
      <c r="F176" s="1">
        <v>45054</v>
      </c>
      <c r="G176" s="10">
        <v>39995.760000000002</v>
      </c>
      <c r="H176">
        <v>10</v>
      </c>
    </row>
    <row r="177" spans="1:8" x14ac:dyDescent="0.5">
      <c r="A177" s="3">
        <v>234</v>
      </c>
      <c r="B177" s="3">
        <v>68</v>
      </c>
      <c r="C177" s="3" t="str">
        <f t="shared" si="2"/>
        <v>Old</v>
      </c>
      <c r="D177" t="s">
        <v>5</v>
      </c>
      <c r="E177" t="s">
        <v>6</v>
      </c>
      <c r="F177" s="1">
        <v>45284</v>
      </c>
      <c r="G177" s="10">
        <v>78647.12</v>
      </c>
      <c r="H177">
        <v>16</v>
      </c>
    </row>
    <row r="178" spans="1:8" x14ac:dyDescent="0.5">
      <c r="A178" s="3">
        <v>332</v>
      </c>
      <c r="B178" s="3">
        <v>85</v>
      </c>
      <c r="C178" s="3" t="str">
        <f t="shared" si="2"/>
        <v>Old</v>
      </c>
      <c r="D178" t="s">
        <v>3</v>
      </c>
      <c r="E178" t="s">
        <v>2</v>
      </c>
      <c r="F178" s="1">
        <v>44936</v>
      </c>
      <c r="G178" s="10">
        <v>59712.77</v>
      </c>
      <c r="H178">
        <v>29</v>
      </c>
    </row>
    <row r="179" spans="1:8" x14ac:dyDescent="0.5">
      <c r="A179" s="3">
        <v>263</v>
      </c>
      <c r="B179" s="3">
        <v>90</v>
      </c>
      <c r="C179" s="3" t="str">
        <f t="shared" si="2"/>
        <v>Old</v>
      </c>
      <c r="D179" t="s">
        <v>5</v>
      </c>
      <c r="E179" t="s">
        <v>4</v>
      </c>
      <c r="F179" s="1">
        <v>45270</v>
      </c>
      <c r="G179" s="10">
        <v>29206.639999999999</v>
      </c>
      <c r="H179">
        <v>1</v>
      </c>
    </row>
    <row r="180" spans="1:8" x14ac:dyDescent="0.5">
      <c r="A180" s="3">
        <v>377</v>
      </c>
      <c r="B180" s="3">
        <v>23</v>
      </c>
      <c r="C180" s="3" t="str">
        <f t="shared" si="2"/>
        <v>Young</v>
      </c>
      <c r="D180" t="s">
        <v>5</v>
      </c>
      <c r="E180" t="s">
        <v>0</v>
      </c>
      <c r="F180" s="1">
        <v>45025</v>
      </c>
      <c r="G180" s="10">
        <v>46912.43</v>
      </c>
      <c r="H180">
        <v>15</v>
      </c>
    </row>
    <row r="181" spans="1:8" x14ac:dyDescent="0.5">
      <c r="A181" s="3">
        <v>226</v>
      </c>
      <c r="B181" s="3">
        <v>38</v>
      </c>
      <c r="C181" s="3" t="str">
        <f t="shared" si="2"/>
        <v>Middle Age</v>
      </c>
      <c r="D181" t="s">
        <v>5</v>
      </c>
      <c r="E181" t="s">
        <v>0</v>
      </c>
      <c r="F181" s="1">
        <v>44948</v>
      </c>
      <c r="G181" s="10">
        <v>74257.37</v>
      </c>
      <c r="H181">
        <v>2</v>
      </c>
    </row>
    <row r="182" spans="1:8" x14ac:dyDescent="0.5">
      <c r="A182" s="3">
        <v>86</v>
      </c>
      <c r="B182" s="3">
        <v>42</v>
      </c>
      <c r="C182" s="3" t="str">
        <f t="shared" si="2"/>
        <v>Middle Age</v>
      </c>
      <c r="D182" t="s">
        <v>3</v>
      </c>
      <c r="E182" t="s">
        <v>1</v>
      </c>
      <c r="F182" s="1">
        <v>45037</v>
      </c>
      <c r="G182" s="10">
        <v>4262.13</v>
      </c>
      <c r="H182">
        <v>2</v>
      </c>
    </row>
    <row r="183" spans="1:8" x14ac:dyDescent="0.5">
      <c r="A183" s="3">
        <v>159</v>
      </c>
      <c r="B183" s="3">
        <v>23</v>
      </c>
      <c r="C183" s="3" t="str">
        <f t="shared" si="2"/>
        <v>Young</v>
      </c>
      <c r="D183" t="s">
        <v>5</v>
      </c>
      <c r="E183" t="s">
        <v>6</v>
      </c>
      <c r="F183" s="1">
        <v>45111</v>
      </c>
      <c r="G183" s="10">
        <v>83279.83</v>
      </c>
      <c r="H183">
        <v>19</v>
      </c>
    </row>
    <row r="184" spans="1:8" x14ac:dyDescent="0.5">
      <c r="A184" s="3">
        <v>364</v>
      </c>
      <c r="B184" s="3">
        <v>50</v>
      </c>
      <c r="C184" s="3" t="str">
        <f t="shared" si="2"/>
        <v>Middle Age</v>
      </c>
      <c r="D184" t="s">
        <v>3</v>
      </c>
      <c r="E184" t="s">
        <v>1</v>
      </c>
      <c r="F184" s="1">
        <v>45012</v>
      </c>
      <c r="G184" s="10">
        <v>55174.53</v>
      </c>
      <c r="H184">
        <v>6</v>
      </c>
    </row>
    <row r="185" spans="1:8" x14ac:dyDescent="0.5">
      <c r="A185" s="3">
        <v>313</v>
      </c>
      <c r="B185" s="3">
        <v>90</v>
      </c>
      <c r="C185" s="3" t="str">
        <f t="shared" si="2"/>
        <v>Old</v>
      </c>
      <c r="D185" t="s">
        <v>5</v>
      </c>
      <c r="E185" t="s">
        <v>4</v>
      </c>
      <c r="F185" s="1">
        <v>45271</v>
      </c>
      <c r="G185" s="10">
        <v>77201.08</v>
      </c>
      <c r="H185">
        <v>29</v>
      </c>
    </row>
    <row r="186" spans="1:8" x14ac:dyDescent="0.5">
      <c r="A186" s="3">
        <v>248</v>
      </c>
      <c r="B186" s="3">
        <v>90</v>
      </c>
      <c r="C186" s="3" t="str">
        <f t="shared" si="2"/>
        <v>Old</v>
      </c>
      <c r="D186" t="s">
        <v>3</v>
      </c>
      <c r="E186" t="s">
        <v>6</v>
      </c>
      <c r="F186" s="1">
        <v>45198</v>
      </c>
      <c r="G186" s="10">
        <v>562.14</v>
      </c>
      <c r="H186">
        <v>13</v>
      </c>
    </row>
    <row r="187" spans="1:8" x14ac:dyDescent="0.5">
      <c r="A187" s="3">
        <v>184</v>
      </c>
      <c r="B187" s="3">
        <v>101</v>
      </c>
      <c r="C187" s="3" t="str">
        <f t="shared" si="2"/>
        <v>Old</v>
      </c>
      <c r="D187" t="s">
        <v>5</v>
      </c>
      <c r="E187" t="s">
        <v>0</v>
      </c>
      <c r="F187" s="1">
        <v>45119</v>
      </c>
      <c r="G187" s="10">
        <v>83840.06</v>
      </c>
      <c r="H187">
        <v>2</v>
      </c>
    </row>
    <row r="188" spans="1:8" x14ac:dyDescent="0.5">
      <c r="A188" s="3">
        <v>122</v>
      </c>
      <c r="B188" s="3">
        <v>54</v>
      </c>
      <c r="C188" s="3" t="str">
        <f t="shared" si="2"/>
        <v>Middle Age</v>
      </c>
      <c r="D188" t="s">
        <v>5</v>
      </c>
      <c r="E188" t="s">
        <v>0</v>
      </c>
      <c r="F188" s="1">
        <v>45100</v>
      </c>
      <c r="G188" s="10">
        <v>50839.519999999997</v>
      </c>
      <c r="H188">
        <v>24</v>
      </c>
    </row>
    <row r="189" spans="1:8" x14ac:dyDescent="0.5">
      <c r="A189" s="3">
        <v>397</v>
      </c>
      <c r="B189" s="3">
        <v>77</v>
      </c>
      <c r="C189" s="3" t="str">
        <f t="shared" si="2"/>
        <v>Old</v>
      </c>
      <c r="D189" t="s">
        <v>5</v>
      </c>
      <c r="E189" t="s">
        <v>6</v>
      </c>
      <c r="F189" s="1">
        <v>45132</v>
      </c>
      <c r="G189" s="10">
        <v>64915.44</v>
      </c>
      <c r="H189">
        <v>17</v>
      </c>
    </row>
    <row r="190" spans="1:8" x14ac:dyDescent="0.5">
      <c r="A190" s="3">
        <v>77</v>
      </c>
      <c r="B190" s="3">
        <v>22</v>
      </c>
      <c r="C190" s="3" t="str">
        <f t="shared" si="2"/>
        <v>Young</v>
      </c>
      <c r="D190" t="s">
        <v>3</v>
      </c>
      <c r="E190" t="s">
        <v>0</v>
      </c>
      <c r="F190" s="1">
        <v>45253</v>
      </c>
      <c r="G190" s="10">
        <v>15386.06</v>
      </c>
      <c r="H190">
        <v>0</v>
      </c>
    </row>
    <row r="191" spans="1:8" x14ac:dyDescent="0.5">
      <c r="A191" s="3">
        <v>366</v>
      </c>
      <c r="B191" s="3">
        <v>23</v>
      </c>
      <c r="C191" s="3" t="str">
        <f t="shared" si="2"/>
        <v>Young</v>
      </c>
      <c r="D191" t="s">
        <v>5</v>
      </c>
      <c r="E191" t="s">
        <v>4</v>
      </c>
      <c r="F191" s="1">
        <v>44987</v>
      </c>
      <c r="G191" s="10">
        <v>32224.57</v>
      </c>
      <c r="H191">
        <v>22</v>
      </c>
    </row>
    <row r="192" spans="1:8" x14ac:dyDescent="0.5">
      <c r="A192" s="3">
        <v>421</v>
      </c>
      <c r="B192" s="3">
        <v>26</v>
      </c>
      <c r="C192" s="3" t="str">
        <f t="shared" si="2"/>
        <v>Young</v>
      </c>
      <c r="D192" t="s">
        <v>5</v>
      </c>
      <c r="E192" t="s">
        <v>2</v>
      </c>
      <c r="F192" s="1">
        <v>45076</v>
      </c>
      <c r="G192" s="10">
        <v>48599.86</v>
      </c>
      <c r="H192">
        <v>5</v>
      </c>
    </row>
    <row r="193" spans="1:8" x14ac:dyDescent="0.5">
      <c r="A193" s="3">
        <v>200</v>
      </c>
      <c r="B193" s="3">
        <v>51</v>
      </c>
      <c r="C193" s="3" t="str">
        <f t="shared" si="2"/>
        <v>Middle Age</v>
      </c>
      <c r="D193" t="s">
        <v>5</v>
      </c>
      <c r="E193" t="s">
        <v>0</v>
      </c>
      <c r="F193" s="1">
        <v>45117</v>
      </c>
      <c r="G193" s="10">
        <v>59536.21</v>
      </c>
      <c r="H193">
        <v>27</v>
      </c>
    </row>
    <row r="194" spans="1:8" x14ac:dyDescent="0.5">
      <c r="A194" s="3">
        <v>86</v>
      </c>
      <c r="B194" s="3">
        <v>79</v>
      </c>
      <c r="C194" s="3" t="str">
        <f t="shared" ref="C194:C257" si="3">IF(B194&lt;=30,"Young", IF(B194&lt;=55,"Middle Age",IF(B194&gt;55,"Old","Not found")))</f>
        <v>Old</v>
      </c>
      <c r="D194" t="s">
        <v>5</v>
      </c>
      <c r="E194" t="s">
        <v>1</v>
      </c>
      <c r="F194" s="1">
        <v>45125</v>
      </c>
      <c r="G194" s="10">
        <v>91002.96</v>
      </c>
      <c r="H194">
        <v>0</v>
      </c>
    </row>
    <row r="195" spans="1:8" x14ac:dyDescent="0.5">
      <c r="A195" s="3">
        <v>187</v>
      </c>
      <c r="B195" s="3">
        <v>23</v>
      </c>
      <c r="C195" s="3" t="str">
        <f t="shared" si="3"/>
        <v>Young</v>
      </c>
      <c r="D195" t="s">
        <v>5</v>
      </c>
      <c r="E195" t="s">
        <v>0</v>
      </c>
      <c r="F195" s="1">
        <v>45203</v>
      </c>
      <c r="G195" s="10">
        <v>36923.480000000003</v>
      </c>
      <c r="H195">
        <v>8</v>
      </c>
    </row>
    <row r="196" spans="1:8" x14ac:dyDescent="0.5">
      <c r="A196" s="3">
        <v>298</v>
      </c>
      <c r="B196" s="3">
        <v>47</v>
      </c>
      <c r="C196" s="3" t="str">
        <f t="shared" si="3"/>
        <v>Middle Age</v>
      </c>
      <c r="D196" t="s">
        <v>5</v>
      </c>
      <c r="E196" t="s">
        <v>1</v>
      </c>
      <c r="F196" s="1">
        <v>45050</v>
      </c>
      <c r="G196" s="10">
        <v>40467.480000000003</v>
      </c>
      <c r="H196">
        <v>2</v>
      </c>
    </row>
    <row r="197" spans="1:8" x14ac:dyDescent="0.5">
      <c r="A197" s="3">
        <v>231</v>
      </c>
      <c r="B197" s="3">
        <v>99</v>
      </c>
      <c r="C197" s="3" t="str">
        <f t="shared" si="3"/>
        <v>Old</v>
      </c>
      <c r="D197" t="s">
        <v>5</v>
      </c>
      <c r="E197" t="s">
        <v>2</v>
      </c>
      <c r="F197" s="1">
        <v>45133</v>
      </c>
      <c r="G197" s="10">
        <v>65096.88</v>
      </c>
      <c r="H197">
        <v>16</v>
      </c>
    </row>
    <row r="198" spans="1:8" x14ac:dyDescent="0.5">
      <c r="A198" s="3">
        <v>300</v>
      </c>
      <c r="B198" s="3">
        <v>85</v>
      </c>
      <c r="C198" s="3" t="str">
        <f t="shared" si="3"/>
        <v>Old</v>
      </c>
      <c r="D198" t="s">
        <v>5</v>
      </c>
      <c r="E198" t="s">
        <v>6</v>
      </c>
      <c r="F198" s="1">
        <v>45032</v>
      </c>
      <c r="G198" s="10">
        <v>10048.94</v>
      </c>
      <c r="H198">
        <v>17</v>
      </c>
    </row>
    <row r="199" spans="1:8" x14ac:dyDescent="0.5">
      <c r="A199" s="3">
        <v>339</v>
      </c>
      <c r="B199" s="3">
        <v>91</v>
      </c>
      <c r="C199" s="3" t="str">
        <f t="shared" si="3"/>
        <v>Old</v>
      </c>
      <c r="D199" t="s">
        <v>5</v>
      </c>
      <c r="E199" t="s">
        <v>0</v>
      </c>
      <c r="F199" s="1">
        <v>44966</v>
      </c>
      <c r="G199" s="10">
        <v>86062.74</v>
      </c>
      <c r="H199">
        <v>20</v>
      </c>
    </row>
    <row r="200" spans="1:8" x14ac:dyDescent="0.5">
      <c r="A200" s="3">
        <v>64</v>
      </c>
      <c r="B200" s="3">
        <v>48</v>
      </c>
      <c r="C200" s="3" t="str">
        <f t="shared" si="3"/>
        <v>Middle Age</v>
      </c>
      <c r="D200" t="s">
        <v>5</v>
      </c>
      <c r="E200" t="s">
        <v>0</v>
      </c>
      <c r="F200" s="1">
        <v>44951</v>
      </c>
      <c r="G200" s="10">
        <v>14005.73</v>
      </c>
      <c r="H200">
        <v>8</v>
      </c>
    </row>
    <row r="201" spans="1:8" x14ac:dyDescent="0.5">
      <c r="A201" s="3">
        <v>413</v>
      </c>
      <c r="B201" s="3">
        <v>98</v>
      </c>
      <c r="C201" s="3" t="str">
        <f t="shared" si="3"/>
        <v>Old</v>
      </c>
      <c r="D201" t="s">
        <v>5</v>
      </c>
      <c r="E201" t="s">
        <v>4</v>
      </c>
      <c r="F201" s="1">
        <v>45196</v>
      </c>
      <c r="G201" s="10">
        <v>25149.67</v>
      </c>
      <c r="H201">
        <v>14</v>
      </c>
    </row>
    <row r="202" spans="1:8" x14ac:dyDescent="0.5">
      <c r="A202" s="3">
        <v>401</v>
      </c>
      <c r="B202" s="3">
        <v>90</v>
      </c>
      <c r="C202" s="3" t="str">
        <f t="shared" si="3"/>
        <v>Old</v>
      </c>
      <c r="D202" t="s">
        <v>5</v>
      </c>
      <c r="E202" t="s">
        <v>4</v>
      </c>
      <c r="F202" s="1">
        <v>44966</v>
      </c>
      <c r="G202" s="10">
        <v>80227.100000000006</v>
      </c>
      <c r="H202">
        <v>2</v>
      </c>
    </row>
    <row r="203" spans="1:8" x14ac:dyDescent="0.5">
      <c r="A203" s="3">
        <v>390</v>
      </c>
      <c r="B203" s="3">
        <v>72</v>
      </c>
      <c r="C203" s="3" t="str">
        <f t="shared" si="3"/>
        <v>Old</v>
      </c>
      <c r="D203" t="s">
        <v>5</v>
      </c>
      <c r="E203" t="s">
        <v>1</v>
      </c>
      <c r="F203" s="1">
        <v>45057</v>
      </c>
      <c r="G203" s="10">
        <v>82651.66</v>
      </c>
      <c r="H203">
        <v>20</v>
      </c>
    </row>
    <row r="204" spans="1:8" x14ac:dyDescent="0.5">
      <c r="A204" s="3">
        <v>36</v>
      </c>
      <c r="B204" s="3">
        <v>23</v>
      </c>
      <c r="C204" s="3" t="str">
        <f t="shared" si="3"/>
        <v>Young</v>
      </c>
      <c r="D204" t="s">
        <v>5</v>
      </c>
      <c r="E204" t="s">
        <v>1</v>
      </c>
      <c r="F204" s="1">
        <v>45016</v>
      </c>
      <c r="G204" s="10">
        <v>33692.9</v>
      </c>
      <c r="H204">
        <v>8</v>
      </c>
    </row>
    <row r="205" spans="1:8" x14ac:dyDescent="0.5">
      <c r="A205" s="3">
        <v>78</v>
      </c>
      <c r="B205" s="3">
        <v>21</v>
      </c>
      <c r="C205" s="3" t="str">
        <f t="shared" si="3"/>
        <v>Young</v>
      </c>
      <c r="D205" t="s">
        <v>5</v>
      </c>
      <c r="E205" t="s">
        <v>4</v>
      </c>
      <c r="F205" s="1">
        <v>45132</v>
      </c>
      <c r="G205" s="10">
        <v>68201.8</v>
      </c>
      <c r="H205">
        <v>2</v>
      </c>
    </row>
    <row r="206" spans="1:8" x14ac:dyDescent="0.5">
      <c r="A206" s="3">
        <v>289</v>
      </c>
      <c r="B206" s="3">
        <v>54</v>
      </c>
      <c r="C206" s="3" t="str">
        <f t="shared" si="3"/>
        <v>Middle Age</v>
      </c>
      <c r="D206" t="s">
        <v>5</v>
      </c>
      <c r="E206" t="s">
        <v>2</v>
      </c>
      <c r="F206" s="1">
        <v>45239</v>
      </c>
      <c r="G206" s="10">
        <v>32299.98</v>
      </c>
      <c r="H206">
        <v>9</v>
      </c>
    </row>
    <row r="207" spans="1:8" x14ac:dyDescent="0.5">
      <c r="A207" s="3">
        <v>216</v>
      </c>
      <c r="B207" s="3">
        <v>56</v>
      </c>
      <c r="C207" s="3" t="str">
        <f t="shared" si="3"/>
        <v>Old</v>
      </c>
      <c r="D207" t="s">
        <v>5</v>
      </c>
      <c r="E207" t="s">
        <v>4</v>
      </c>
      <c r="F207" s="1">
        <v>45298</v>
      </c>
      <c r="G207" s="10">
        <v>56968.41</v>
      </c>
      <c r="H207">
        <v>25</v>
      </c>
    </row>
    <row r="208" spans="1:8" x14ac:dyDescent="0.5">
      <c r="A208" s="3">
        <v>480</v>
      </c>
      <c r="B208" s="3">
        <v>83</v>
      </c>
      <c r="C208" s="3" t="str">
        <f t="shared" si="3"/>
        <v>Old</v>
      </c>
      <c r="D208" t="s">
        <v>3</v>
      </c>
      <c r="E208" t="s">
        <v>6</v>
      </c>
      <c r="F208" s="1">
        <v>45193</v>
      </c>
      <c r="G208" s="10">
        <v>57479.73</v>
      </c>
      <c r="H208">
        <v>1</v>
      </c>
    </row>
    <row r="209" spans="1:8" x14ac:dyDescent="0.5">
      <c r="A209" s="3">
        <v>162</v>
      </c>
      <c r="B209" s="3">
        <v>86</v>
      </c>
      <c r="C209" s="3" t="str">
        <f t="shared" si="3"/>
        <v>Old</v>
      </c>
      <c r="D209" t="s">
        <v>5</v>
      </c>
      <c r="E209" t="s">
        <v>2</v>
      </c>
      <c r="F209" s="1">
        <v>45181</v>
      </c>
      <c r="G209" s="10">
        <v>38744.74</v>
      </c>
      <c r="H209">
        <v>29</v>
      </c>
    </row>
    <row r="210" spans="1:8" x14ac:dyDescent="0.5">
      <c r="A210" s="3">
        <v>46</v>
      </c>
      <c r="B210" s="3">
        <v>43</v>
      </c>
      <c r="C210" s="3" t="str">
        <f t="shared" si="3"/>
        <v>Middle Age</v>
      </c>
      <c r="D210" t="s">
        <v>5</v>
      </c>
      <c r="E210" t="s">
        <v>1</v>
      </c>
      <c r="F210" s="1">
        <v>45150</v>
      </c>
      <c r="G210" s="10">
        <v>94098.64</v>
      </c>
      <c r="H210">
        <v>20</v>
      </c>
    </row>
    <row r="211" spans="1:8" x14ac:dyDescent="0.5">
      <c r="A211" s="3">
        <v>425</v>
      </c>
      <c r="B211" s="3">
        <v>23</v>
      </c>
      <c r="C211" s="3" t="str">
        <f t="shared" si="3"/>
        <v>Young</v>
      </c>
      <c r="D211" t="s">
        <v>3</v>
      </c>
      <c r="E211" t="s">
        <v>6</v>
      </c>
      <c r="F211" s="1">
        <v>45121</v>
      </c>
      <c r="G211" s="10">
        <v>46217.93</v>
      </c>
      <c r="H211">
        <v>10</v>
      </c>
    </row>
    <row r="212" spans="1:8" x14ac:dyDescent="0.5">
      <c r="A212" s="3">
        <v>117</v>
      </c>
      <c r="B212" s="3">
        <v>24</v>
      </c>
      <c r="C212" s="3" t="str">
        <f t="shared" si="3"/>
        <v>Young</v>
      </c>
      <c r="D212" t="s">
        <v>5</v>
      </c>
      <c r="E212" t="s">
        <v>0</v>
      </c>
      <c r="F212" s="1">
        <v>45305</v>
      </c>
      <c r="G212" s="10">
        <v>9060.68</v>
      </c>
      <c r="H212">
        <v>22</v>
      </c>
    </row>
    <row r="213" spans="1:8" x14ac:dyDescent="0.5">
      <c r="A213" s="3">
        <v>399</v>
      </c>
      <c r="B213" s="3">
        <v>23</v>
      </c>
      <c r="C213" s="3" t="str">
        <f t="shared" si="3"/>
        <v>Young</v>
      </c>
      <c r="D213" t="s">
        <v>5</v>
      </c>
      <c r="E213" t="s">
        <v>6</v>
      </c>
      <c r="F213" s="1">
        <v>45184</v>
      </c>
      <c r="G213" s="10">
        <v>23039.4</v>
      </c>
      <c r="H213">
        <v>18</v>
      </c>
    </row>
    <row r="214" spans="1:8" x14ac:dyDescent="0.5">
      <c r="A214" s="3">
        <v>46</v>
      </c>
      <c r="B214" s="3">
        <v>70</v>
      </c>
      <c r="C214" s="3" t="str">
        <f t="shared" si="3"/>
        <v>Old</v>
      </c>
      <c r="D214" t="s">
        <v>3</v>
      </c>
      <c r="E214" t="s">
        <v>1</v>
      </c>
      <c r="F214" s="1">
        <v>45192</v>
      </c>
      <c r="G214" s="10">
        <v>28716.09</v>
      </c>
      <c r="H214">
        <v>7</v>
      </c>
    </row>
    <row r="215" spans="1:8" x14ac:dyDescent="0.5">
      <c r="A215" s="3">
        <v>362</v>
      </c>
      <c r="B215" s="3">
        <v>93</v>
      </c>
      <c r="C215" s="3" t="str">
        <f t="shared" si="3"/>
        <v>Old</v>
      </c>
      <c r="D215" t="s">
        <v>5</v>
      </c>
      <c r="E215" t="s">
        <v>6</v>
      </c>
      <c r="F215" s="1">
        <v>45293</v>
      </c>
      <c r="G215" s="10">
        <v>62476.6</v>
      </c>
      <c r="H215">
        <v>13</v>
      </c>
    </row>
    <row r="216" spans="1:8" x14ac:dyDescent="0.5">
      <c r="A216" s="3">
        <v>43</v>
      </c>
      <c r="B216" s="3">
        <v>50</v>
      </c>
      <c r="C216" s="3" t="str">
        <f t="shared" si="3"/>
        <v>Middle Age</v>
      </c>
      <c r="D216" t="s">
        <v>5</v>
      </c>
      <c r="E216" t="s">
        <v>1</v>
      </c>
      <c r="F216" s="1">
        <v>45168</v>
      </c>
      <c r="G216" s="10">
        <v>79034.2</v>
      </c>
      <c r="H216">
        <v>3</v>
      </c>
    </row>
    <row r="217" spans="1:8" x14ac:dyDescent="0.5">
      <c r="A217" s="3">
        <v>353</v>
      </c>
      <c r="B217" s="3">
        <v>42</v>
      </c>
      <c r="C217" s="3" t="str">
        <f t="shared" si="3"/>
        <v>Middle Age</v>
      </c>
      <c r="D217" t="s">
        <v>3</v>
      </c>
      <c r="E217" t="s">
        <v>6</v>
      </c>
      <c r="F217" s="1">
        <v>45169</v>
      </c>
      <c r="G217" s="10">
        <v>80420.86</v>
      </c>
      <c r="H217">
        <v>14</v>
      </c>
    </row>
    <row r="218" spans="1:8" x14ac:dyDescent="0.5">
      <c r="A218" s="3">
        <v>291</v>
      </c>
      <c r="B218" s="3">
        <v>65</v>
      </c>
      <c r="C218" s="3" t="str">
        <f t="shared" si="3"/>
        <v>Old</v>
      </c>
      <c r="D218" t="s">
        <v>5</v>
      </c>
      <c r="E218" t="s">
        <v>1</v>
      </c>
      <c r="F218" s="1">
        <v>45303</v>
      </c>
      <c r="G218" s="10">
        <v>74828.84</v>
      </c>
      <c r="H218">
        <v>2</v>
      </c>
    </row>
    <row r="219" spans="1:8" x14ac:dyDescent="0.5">
      <c r="A219" s="3">
        <v>96</v>
      </c>
      <c r="B219" s="3">
        <v>64</v>
      </c>
      <c r="C219" s="3" t="str">
        <f t="shared" si="3"/>
        <v>Old</v>
      </c>
      <c r="D219" t="s">
        <v>5</v>
      </c>
      <c r="E219" t="s">
        <v>2</v>
      </c>
      <c r="F219" s="1">
        <v>45197</v>
      </c>
      <c r="G219" s="10">
        <v>2096.73</v>
      </c>
      <c r="H219">
        <v>15</v>
      </c>
    </row>
    <row r="220" spans="1:8" x14ac:dyDescent="0.5">
      <c r="A220" s="3">
        <v>231</v>
      </c>
      <c r="B220" s="3">
        <v>23</v>
      </c>
      <c r="C220" s="3" t="str">
        <f t="shared" si="3"/>
        <v>Young</v>
      </c>
      <c r="D220" t="s">
        <v>5</v>
      </c>
      <c r="E220" t="s">
        <v>0</v>
      </c>
      <c r="F220" s="1">
        <v>44991</v>
      </c>
      <c r="G220" s="10">
        <v>59130.75</v>
      </c>
      <c r="H220">
        <v>19</v>
      </c>
    </row>
    <row r="221" spans="1:8" x14ac:dyDescent="0.5">
      <c r="A221" s="3">
        <v>403</v>
      </c>
      <c r="B221" s="3">
        <v>72</v>
      </c>
      <c r="C221" s="3" t="str">
        <f t="shared" si="3"/>
        <v>Old</v>
      </c>
      <c r="D221" t="s">
        <v>5</v>
      </c>
      <c r="E221" t="s">
        <v>0</v>
      </c>
      <c r="F221" s="1">
        <v>45216</v>
      </c>
      <c r="G221" s="10">
        <v>13114.17</v>
      </c>
      <c r="H221">
        <v>22</v>
      </c>
    </row>
    <row r="222" spans="1:8" x14ac:dyDescent="0.5">
      <c r="A222" s="3">
        <v>266</v>
      </c>
      <c r="B222" s="3">
        <v>49</v>
      </c>
      <c r="C222" s="3" t="str">
        <f t="shared" si="3"/>
        <v>Middle Age</v>
      </c>
      <c r="D222" t="s">
        <v>5</v>
      </c>
      <c r="E222" t="s">
        <v>1</v>
      </c>
      <c r="F222" s="1">
        <v>45202</v>
      </c>
      <c r="G222" s="10">
        <v>17404.03</v>
      </c>
      <c r="H222">
        <v>29</v>
      </c>
    </row>
    <row r="223" spans="1:8" x14ac:dyDescent="0.5">
      <c r="A223" s="3">
        <v>458</v>
      </c>
      <c r="B223" s="3">
        <v>60</v>
      </c>
      <c r="C223" s="3" t="str">
        <f t="shared" si="3"/>
        <v>Old</v>
      </c>
      <c r="D223" t="s">
        <v>3</v>
      </c>
      <c r="E223" t="s">
        <v>6</v>
      </c>
      <c r="F223" s="1">
        <v>45072</v>
      </c>
      <c r="G223" s="10">
        <v>55066.26</v>
      </c>
      <c r="H223">
        <v>1</v>
      </c>
    </row>
    <row r="224" spans="1:8" x14ac:dyDescent="0.5">
      <c r="A224" s="3">
        <v>270</v>
      </c>
      <c r="B224" s="3">
        <v>30</v>
      </c>
      <c r="C224" s="3" t="str">
        <f t="shared" si="3"/>
        <v>Young</v>
      </c>
      <c r="D224" t="s">
        <v>5</v>
      </c>
      <c r="E224" t="s">
        <v>4</v>
      </c>
      <c r="F224" s="1">
        <v>45036</v>
      </c>
      <c r="G224" s="10">
        <v>57754.04</v>
      </c>
      <c r="H224">
        <v>12</v>
      </c>
    </row>
    <row r="225" spans="1:8" x14ac:dyDescent="0.5">
      <c r="A225" s="3">
        <v>342</v>
      </c>
      <c r="B225" s="3">
        <v>23</v>
      </c>
      <c r="C225" s="3" t="str">
        <f t="shared" si="3"/>
        <v>Young</v>
      </c>
      <c r="D225" t="s">
        <v>5</v>
      </c>
      <c r="E225" t="s">
        <v>1</v>
      </c>
      <c r="F225" s="1">
        <v>45225</v>
      </c>
      <c r="G225" s="10">
        <v>28338.49</v>
      </c>
      <c r="H225">
        <v>9</v>
      </c>
    </row>
    <row r="226" spans="1:8" x14ac:dyDescent="0.5">
      <c r="A226" s="3">
        <v>428</v>
      </c>
      <c r="B226" s="3">
        <v>1</v>
      </c>
      <c r="C226" s="3" t="str">
        <f t="shared" si="3"/>
        <v>Young</v>
      </c>
      <c r="D226" t="s">
        <v>3</v>
      </c>
      <c r="E226" t="s">
        <v>4</v>
      </c>
      <c r="F226" s="1">
        <v>45212</v>
      </c>
      <c r="G226" s="10">
        <v>37248.910000000003</v>
      </c>
      <c r="H226">
        <v>5</v>
      </c>
    </row>
    <row r="227" spans="1:8" x14ac:dyDescent="0.5">
      <c r="A227" s="3">
        <v>288</v>
      </c>
      <c r="B227" s="3">
        <v>57</v>
      </c>
      <c r="C227" s="3" t="str">
        <f t="shared" si="3"/>
        <v>Old</v>
      </c>
      <c r="D227" t="s">
        <v>3</v>
      </c>
      <c r="E227" t="s">
        <v>1</v>
      </c>
      <c r="F227" s="1">
        <v>45000</v>
      </c>
      <c r="G227" s="10">
        <v>79658.070000000007</v>
      </c>
      <c r="H227">
        <v>3</v>
      </c>
    </row>
    <row r="228" spans="1:8" x14ac:dyDescent="0.5">
      <c r="A228" s="3">
        <v>209</v>
      </c>
      <c r="B228" s="3">
        <v>43</v>
      </c>
      <c r="C228" s="3" t="str">
        <f t="shared" si="3"/>
        <v>Middle Age</v>
      </c>
      <c r="D228" t="s">
        <v>5</v>
      </c>
      <c r="E228" t="s">
        <v>6</v>
      </c>
      <c r="F228" s="1">
        <v>45263</v>
      </c>
      <c r="G228" s="10">
        <v>66509.27</v>
      </c>
      <c r="H228">
        <v>19</v>
      </c>
    </row>
    <row r="229" spans="1:8" x14ac:dyDescent="0.5">
      <c r="A229" s="3">
        <v>49</v>
      </c>
      <c r="B229" s="3">
        <v>23</v>
      </c>
      <c r="C229" s="3" t="str">
        <f t="shared" si="3"/>
        <v>Young</v>
      </c>
      <c r="D229" t="s">
        <v>3</v>
      </c>
      <c r="E229" t="s">
        <v>0</v>
      </c>
      <c r="F229" s="1">
        <v>45173</v>
      </c>
      <c r="G229" s="10">
        <v>52819.54</v>
      </c>
      <c r="H229">
        <v>3</v>
      </c>
    </row>
    <row r="230" spans="1:8" x14ac:dyDescent="0.5">
      <c r="A230" s="3">
        <v>154</v>
      </c>
      <c r="B230" s="3">
        <v>23</v>
      </c>
      <c r="C230" s="3" t="str">
        <f t="shared" si="3"/>
        <v>Young</v>
      </c>
      <c r="D230" t="s">
        <v>5</v>
      </c>
      <c r="E230" t="s">
        <v>4</v>
      </c>
      <c r="F230" s="1">
        <v>44947</v>
      </c>
      <c r="G230" s="10">
        <v>71938.64</v>
      </c>
      <c r="H230">
        <v>21</v>
      </c>
    </row>
    <row r="231" spans="1:8" x14ac:dyDescent="0.5">
      <c r="A231" s="3">
        <v>498</v>
      </c>
      <c r="B231" s="3">
        <v>1</v>
      </c>
      <c r="C231" s="3" t="str">
        <f t="shared" si="3"/>
        <v>Young</v>
      </c>
      <c r="D231" t="s">
        <v>3</v>
      </c>
      <c r="E231" t="s">
        <v>6</v>
      </c>
      <c r="F231" s="1">
        <v>45274</v>
      </c>
      <c r="G231" s="10">
        <v>56971.22</v>
      </c>
      <c r="H231">
        <v>12</v>
      </c>
    </row>
    <row r="232" spans="1:8" x14ac:dyDescent="0.5">
      <c r="A232" s="3">
        <v>495</v>
      </c>
      <c r="B232" s="3">
        <v>22</v>
      </c>
      <c r="C232" s="3" t="str">
        <f t="shared" si="3"/>
        <v>Young</v>
      </c>
      <c r="D232" t="s">
        <v>3</v>
      </c>
      <c r="E232" t="s">
        <v>4</v>
      </c>
      <c r="F232" s="1">
        <v>45205</v>
      </c>
      <c r="G232" s="10">
        <v>78909.78</v>
      </c>
      <c r="H232">
        <v>29</v>
      </c>
    </row>
    <row r="233" spans="1:8" x14ac:dyDescent="0.5">
      <c r="A233" s="3">
        <v>470</v>
      </c>
      <c r="B233" s="3">
        <v>43</v>
      </c>
      <c r="C233" s="3" t="str">
        <f t="shared" si="3"/>
        <v>Middle Age</v>
      </c>
      <c r="D233" t="s">
        <v>3</v>
      </c>
      <c r="E233" t="s">
        <v>2</v>
      </c>
      <c r="F233" s="1">
        <v>45257</v>
      </c>
      <c r="G233" s="10">
        <v>30972.97</v>
      </c>
      <c r="H233">
        <v>24</v>
      </c>
    </row>
    <row r="234" spans="1:8" x14ac:dyDescent="0.5">
      <c r="A234" s="3">
        <v>468</v>
      </c>
      <c r="B234" s="3">
        <v>23</v>
      </c>
      <c r="C234" s="3" t="str">
        <f t="shared" si="3"/>
        <v>Young</v>
      </c>
      <c r="D234" t="s">
        <v>5</v>
      </c>
      <c r="E234" t="s">
        <v>1</v>
      </c>
      <c r="F234" s="1">
        <v>45081</v>
      </c>
      <c r="G234" s="10">
        <v>88430.21</v>
      </c>
      <c r="H234">
        <v>5</v>
      </c>
    </row>
    <row r="235" spans="1:8" x14ac:dyDescent="0.5">
      <c r="A235" s="3">
        <v>256</v>
      </c>
      <c r="B235" s="3">
        <v>23</v>
      </c>
      <c r="C235" s="3" t="str">
        <f t="shared" si="3"/>
        <v>Young</v>
      </c>
      <c r="D235" t="s">
        <v>3</v>
      </c>
      <c r="E235" t="s">
        <v>2</v>
      </c>
      <c r="F235" s="1">
        <v>45147</v>
      </c>
      <c r="G235" s="10">
        <v>2419.81</v>
      </c>
      <c r="H235">
        <v>3</v>
      </c>
    </row>
    <row r="236" spans="1:8" x14ac:dyDescent="0.5">
      <c r="A236" s="3">
        <v>65</v>
      </c>
      <c r="B236" s="3">
        <v>36</v>
      </c>
      <c r="C236" s="3" t="str">
        <f t="shared" si="3"/>
        <v>Middle Age</v>
      </c>
      <c r="D236" t="s">
        <v>5</v>
      </c>
      <c r="E236" t="s">
        <v>2</v>
      </c>
      <c r="F236" s="1">
        <v>45051</v>
      </c>
      <c r="G236" s="10">
        <v>50387.519999999997</v>
      </c>
      <c r="H236">
        <v>8</v>
      </c>
    </row>
    <row r="237" spans="1:8" x14ac:dyDescent="0.5">
      <c r="A237" s="3">
        <v>462</v>
      </c>
      <c r="B237" s="3">
        <v>23</v>
      </c>
      <c r="C237" s="3" t="str">
        <f t="shared" si="3"/>
        <v>Young</v>
      </c>
      <c r="D237" t="s">
        <v>5</v>
      </c>
      <c r="E237" t="s">
        <v>1</v>
      </c>
      <c r="F237" s="1">
        <v>45110</v>
      </c>
      <c r="G237" s="10">
        <v>66310.61</v>
      </c>
      <c r="H237">
        <v>11</v>
      </c>
    </row>
    <row r="238" spans="1:8" x14ac:dyDescent="0.5">
      <c r="A238" s="3">
        <v>315</v>
      </c>
      <c r="B238" s="3">
        <v>54</v>
      </c>
      <c r="C238" s="3" t="str">
        <f t="shared" si="3"/>
        <v>Middle Age</v>
      </c>
      <c r="D238" t="s">
        <v>3</v>
      </c>
      <c r="E238" t="s">
        <v>6</v>
      </c>
      <c r="F238" s="1">
        <v>45035</v>
      </c>
      <c r="G238" s="10">
        <v>75202.929999999993</v>
      </c>
      <c r="H238">
        <v>26</v>
      </c>
    </row>
    <row r="239" spans="1:8" x14ac:dyDescent="0.5">
      <c r="A239" s="3">
        <v>267</v>
      </c>
      <c r="B239" s="3">
        <v>60</v>
      </c>
      <c r="C239" s="3" t="str">
        <f t="shared" si="3"/>
        <v>Old</v>
      </c>
      <c r="D239" t="s">
        <v>3</v>
      </c>
      <c r="E239" t="s">
        <v>0</v>
      </c>
      <c r="F239" s="1">
        <v>45103</v>
      </c>
      <c r="G239" s="10">
        <v>98928.41</v>
      </c>
      <c r="H239">
        <v>29</v>
      </c>
    </row>
    <row r="240" spans="1:8" x14ac:dyDescent="0.5">
      <c r="A240" s="3">
        <v>437</v>
      </c>
      <c r="B240" s="3">
        <v>39</v>
      </c>
      <c r="C240" s="3" t="str">
        <f t="shared" si="3"/>
        <v>Middle Age</v>
      </c>
      <c r="D240" t="s">
        <v>3</v>
      </c>
      <c r="E240" t="s">
        <v>0</v>
      </c>
      <c r="F240" s="1">
        <v>45176</v>
      </c>
      <c r="G240" s="10">
        <v>32448.79</v>
      </c>
      <c r="H240">
        <v>24</v>
      </c>
    </row>
    <row r="241" spans="1:8" x14ac:dyDescent="0.5">
      <c r="A241" s="3">
        <v>28</v>
      </c>
      <c r="B241" s="3">
        <v>93</v>
      </c>
      <c r="C241" s="3" t="str">
        <f t="shared" si="3"/>
        <v>Old</v>
      </c>
      <c r="D241" t="s">
        <v>3</v>
      </c>
      <c r="E241" t="s">
        <v>1</v>
      </c>
      <c r="F241" s="1">
        <v>45100</v>
      </c>
      <c r="G241" s="10">
        <v>79633.69</v>
      </c>
      <c r="H241">
        <v>13</v>
      </c>
    </row>
    <row r="242" spans="1:8" x14ac:dyDescent="0.5">
      <c r="A242" s="3">
        <v>157</v>
      </c>
      <c r="B242" s="3">
        <v>90</v>
      </c>
      <c r="C242" s="3" t="str">
        <f t="shared" si="3"/>
        <v>Old</v>
      </c>
      <c r="D242" t="s">
        <v>5</v>
      </c>
      <c r="E242" t="s">
        <v>2</v>
      </c>
      <c r="F242" s="1">
        <v>45254</v>
      </c>
      <c r="G242" s="10">
        <v>26562.37</v>
      </c>
      <c r="H242">
        <v>10</v>
      </c>
    </row>
    <row r="243" spans="1:8" x14ac:dyDescent="0.5">
      <c r="A243" s="3">
        <v>9</v>
      </c>
      <c r="B243" s="3">
        <v>25</v>
      </c>
      <c r="C243" s="3" t="str">
        <f t="shared" si="3"/>
        <v>Young</v>
      </c>
      <c r="D243" t="s">
        <v>3</v>
      </c>
      <c r="E243" t="s">
        <v>0</v>
      </c>
      <c r="F243" s="1">
        <v>44967</v>
      </c>
      <c r="G243" s="10">
        <v>15947.05</v>
      </c>
      <c r="H243">
        <v>13</v>
      </c>
    </row>
    <row r="244" spans="1:8" x14ac:dyDescent="0.5">
      <c r="A244" s="3">
        <v>248</v>
      </c>
      <c r="B244" s="3">
        <v>64</v>
      </c>
      <c r="C244" s="3" t="str">
        <f t="shared" si="3"/>
        <v>Old</v>
      </c>
      <c r="D244" t="s">
        <v>5</v>
      </c>
      <c r="E244" t="s">
        <v>6</v>
      </c>
      <c r="F244" s="1">
        <v>45293</v>
      </c>
      <c r="G244" s="10">
        <v>47669.89</v>
      </c>
      <c r="H244">
        <v>19</v>
      </c>
    </row>
    <row r="245" spans="1:8" x14ac:dyDescent="0.5">
      <c r="A245" s="3">
        <v>482</v>
      </c>
      <c r="B245" s="3">
        <v>41</v>
      </c>
      <c r="C245" s="3" t="str">
        <f t="shared" si="3"/>
        <v>Middle Age</v>
      </c>
      <c r="D245" t="s">
        <v>3</v>
      </c>
      <c r="E245" t="s">
        <v>2</v>
      </c>
      <c r="F245" s="1">
        <v>45018</v>
      </c>
      <c r="G245" s="10">
        <v>987.98</v>
      </c>
      <c r="H245">
        <v>9</v>
      </c>
    </row>
    <row r="246" spans="1:8" x14ac:dyDescent="0.5">
      <c r="A246" s="3">
        <v>101</v>
      </c>
      <c r="B246" s="3">
        <v>33</v>
      </c>
      <c r="C246" s="3" t="str">
        <f t="shared" si="3"/>
        <v>Middle Age</v>
      </c>
      <c r="D246" t="s">
        <v>5</v>
      </c>
      <c r="E246" t="s">
        <v>4</v>
      </c>
      <c r="F246" s="1">
        <v>45060</v>
      </c>
      <c r="G246" s="10">
        <v>69597.08</v>
      </c>
      <c r="H246">
        <v>23</v>
      </c>
    </row>
    <row r="247" spans="1:8" x14ac:dyDescent="0.5">
      <c r="A247" s="3">
        <v>474</v>
      </c>
      <c r="B247" s="3">
        <v>85</v>
      </c>
      <c r="C247" s="3" t="str">
        <f t="shared" si="3"/>
        <v>Old</v>
      </c>
      <c r="D247" t="s">
        <v>3</v>
      </c>
      <c r="E247" t="s">
        <v>6</v>
      </c>
      <c r="F247" s="1">
        <v>45083</v>
      </c>
      <c r="G247" s="10">
        <v>91513.919999999998</v>
      </c>
      <c r="H247">
        <v>28</v>
      </c>
    </row>
    <row r="248" spans="1:8" x14ac:dyDescent="0.5">
      <c r="A248" s="3">
        <v>429</v>
      </c>
      <c r="B248" s="3">
        <v>70</v>
      </c>
      <c r="C248" s="3" t="str">
        <f t="shared" si="3"/>
        <v>Old</v>
      </c>
      <c r="D248" t="s">
        <v>5</v>
      </c>
      <c r="E248" t="s">
        <v>1</v>
      </c>
      <c r="F248" s="1">
        <v>44929</v>
      </c>
      <c r="G248" s="10">
        <v>34269.61</v>
      </c>
      <c r="H248">
        <v>11</v>
      </c>
    </row>
    <row r="249" spans="1:8" x14ac:dyDescent="0.5">
      <c r="A249" s="3">
        <v>255</v>
      </c>
      <c r="B249" s="3">
        <v>90</v>
      </c>
      <c r="C249" s="3" t="str">
        <f t="shared" si="3"/>
        <v>Old</v>
      </c>
      <c r="D249" t="s">
        <v>3</v>
      </c>
      <c r="E249" t="s">
        <v>6</v>
      </c>
      <c r="F249" s="1">
        <v>45180</v>
      </c>
      <c r="G249" s="10">
        <v>5864.9</v>
      </c>
      <c r="H249">
        <v>1</v>
      </c>
    </row>
    <row r="250" spans="1:8" x14ac:dyDescent="0.5">
      <c r="A250" s="3">
        <v>436</v>
      </c>
      <c r="B250" s="3">
        <v>62</v>
      </c>
      <c r="C250" s="3" t="str">
        <f t="shared" si="3"/>
        <v>Old</v>
      </c>
      <c r="D250" t="s">
        <v>3</v>
      </c>
      <c r="E250" t="s">
        <v>1</v>
      </c>
      <c r="F250" s="1">
        <v>45101</v>
      </c>
      <c r="G250" s="10">
        <v>55404.14</v>
      </c>
      <c r="H250">
        <v>4</v>
      </c>
    </row>
    <row r="251" spans="1:8" x14ac:dyDescent="0.5">
      <c r="A251" s="3">
        <v>311</v>
      </c>
      <c r="B251" s="3">
        <v>53</v>
      </c>
      <c r="C251" s="3" t="str">
        <f t="shared" si="3"/>
        <v>Middle Age</v>
      </c>
      <c r="D251" t="s">
        <v>5</v>
      </c>
      <c r="E251" t="s">
        <v>2</v>
      </c>
      <c r="F251" s="1">
        <v>45186</v>
      </c>
      <c r="G251" s="10">
        <v>76756.679999999993</v>
      </c>
      <c r="H251">
        <v>22</v>
      </c>
    </row>
    <row r="252" spans="1:8" x14ac:dyDescent="0.5">
      <c r="A252" s="3">
        <v>299</v>
      </c>
      <c r="B252" s="3">
        <v>28</v>
      </c>
      <c r="C252" s="3" t="str">
        <f t="shared" si="3"/>
        <v>Young</v>
      </c>
      <c r="D252" t="s">
        <v>5</v>
      </c>
      <c r="E252" t="s">
        <v>0</v>
      </c>
      <c r="F252" s="1">
        <v>45293</v>
      </c>
      <c r="G252" s="10">
        <v>74854.78</v>
      </c>
      <c r="H252">
        <v>1</v>
      </c>
    </row>
    <row r="253" spans="1:8" x14ac:dyDescent="0.5">
      <c r="A253" s="3">
        <v>349</v>
      </c>
      <c r="B253" s="3">
        <v>53</v>
      </c>
      <c r="C253" s="3" t="str">
        <f t="shared" si="3"/>
        <v>Middle Age</v>
      </c>
      <c r="D253" t="s">
        <v>5</v>
      </c>
      <c r="E253" t="s">
        <v>1</v>
      </c>
      <c r="F253" s="1">
        <v>45169</v>
      </c>
      <c r="G253" s="10">
        <v>56120.31</v>
      </c>
      <c r="H253">
        <v>1</v>
      </c>
    </row>
    <row r="254" spans="1:8" x14ac:dyDescent="0.5">
      <c r="A254" s="3">
        <v>242</v>
      </c>
      <c r="B254" s="3">
        <v>90</v>
      </c>
      <c r="C254" s="3" t="str">
        <f t="shared" si="3"/>
        <v>Old</v>
      </c>
      <c r="D254" t="s">
        <v>3</v>
      </c>
      <c r="E254" t="s">
        <v>2</v>
      </c>
      <c r="F254" s="1">
        <v>45011</v>
      </c>
      <c r="G254" s="10">
        <v>39939.39</v>
      </c>
      <c r="H254">
        <v>23</v>
      </c>
    </row>
    <row r="255" spans="1:8" x14ac:dyDescent="0.5">
      <c r="A255" s="3">
        <v>144</v>
      </c>
      <c r="B255" s="3">
        <v>83</v>
      </c>
      <c r="C255" s="3" t="str">
        <f t="shared" si="3"/>
        <v>Old</v>
      </c>
      <c r="D255" t="s">
        <v>5</v>
      </c>
      <c r="E255" t="s">
        <v>0</v>
      </c>
      <c r="F255" s="1">
        <v>45079</v>
      </c>
      <c r="G255" s="10">
        <v>71355.789999999994</v>
      </c>
      <c r="H255">
        <v>29</v>
      </c>
    </row>
    <row r="256" spans="1:8" x14ac:dyDescent="0.5">
      <c r="A256" s="3">
        <v>129</v>
      </c>
      <c r="B256" s="3">
        <v>47</v>
      </c>
      <c r="C256" s="3" t="str">
        <f t="shared" si="3"/>
        <v>Middle Age</v>
      </c>
      <c r="D256" t="s">
        <v>3</v>
      </c>
      <c r="E256" t="s">
        <v>2</v>
      </c>
      <c r="F256" s="1">
        <v>45240</v>
      </c>
      <c r="G256" s="10">
        <v>21650.720000000001</v>
      </c>
      <c r="H256">
        <v>7</v>
      </c>
    </row>
    <row r="257" spans="1:8" x14ac:dyDescent="0.5">
      <c r="A257" s="3">
        <v>232</v>
      </c>
      <c r="B257" s="3">
        <v>90</v>
      </c>
      <c r="C257" s="3" t="str">
        <f t="shared" si="3"/>
        <v>Old</v>
      </c>
      <c r="D257" t="s">
        <v>5</v>
      </c>
      <c r="E257" t="s">
        <v>2</v>
      </c>
      <c r="F257" s="1">
        <v>45149</v>
      </c>
      <c r="G257" s="10">
        <v>95560.3</v>
      </c>
      <c r="H257">
        <v>12</v>
      </c>
    </row>
    <row r="258" spans="1:8" x14ac:dyDescent="0.5">
      <c r="A258" s="3">
        <v>493</v>
      </c>
      <c r="B258" s="3">
        <v>23</v>
      </c>
      <c r="C258" s="3" t="str">
        <f t="shared" ref="C258:C321" si="4">IF(B258&lt;=30,"Young", IF(B258&lt;=55,"Middle Age",IF(B258&gt;55,"Old","Not found")))</f>
        <v>Young</v>
      </c>
      <c r="D258" t="s">
        <v>5</v>
      </c>
      <c r="E258" t="s">
        <v>2</v>
      </c>
      <c r="F258" s="1">
        <v>44980</v>
      </c>
      <c r="G258" s="10">
        <v>29083.43</v>
      </c>
      <c r="H258">
        <v>8</v>
      </c>
    </row>
    <row r="259" spans="1:8" x14ac:dyDescent="0.5">
      <c r="A259" s="3">
        <v>449</v>
      </c>
      <c r="B259" s="3">
        <v>44</v>
      </c>
      <c r="C259" s="3" t="str">
        <f t="shared" si="4"/>
        <v>Middle Age</v>
      </c>
      <c r="D259" t="s">
        <v>3</v>
      </c>
      <c r="E259" t="s">
        <v>6</v>
      </c>
      <c r="F259" s="1">
        <v>45056</v>
      </c>
      <c r="G259" s="10">
        <v>49420.73</v>
      </c>
      <c r="H259">
        <v>0</v>
      </c>
    </row>
    <row r="260" spans="1:8" x14ac:dyDescent="0.5">
      <c r="A260" s="3">
        <v>45</v>
      </c>
      <c r="B260" s="3">
        <v>90</v>
      </c>
      <c r="C260" s="3" t="str">
        <f t="shared" si="4"/>
        <v>Old</v>
      </c>
      <c r="D260" t="s">
        <v>3</v>
      </c>
      <c r="E260" t="s">
        <v>0</v>
      </c>
      <c r="F260" s="1">
        <v>45279</v>
      </c>
      <c r="G260" s="10">
        <v>34150.720000000001</v>
      </c>
      <c r="H260">
        <v>1</v>
      </c>
    </row>
    <row r="261" spans="1:8" x14ac:dyDescent="0.5">
      <c r="A261" s="3">
        <v>10</v>
      </c>
      <c r="B261" s="3">
        <v>76</v>
      </c>
      <c r="C261" s="3" t="str">
        <f t="shared" si="4"/>
        <v>Old</v>
      </c>
      <c r="D261" t="s">
        <v>3</v>
      </c>
      <c r="E261" t="s">
        <v>2</v>
      </c>
      <c r="F261" s="1">
        <v>45205</v>
      </c>
      <c r="G261" s="10">
        <v>58978.93</v>
      </c>
      <c r="H261">
        <v>6</v>
      </c>
    </row>
    <row r="262" spans="1:8" x14ac:dyDescent="0.5">
      <c r="A262" s="3">
        <v>303</v>
      </c>
      <c r="B262" s="3">
        <v>27</v>
      </c>
      <c r="C262" s="3" t="str">
        <f t="shared" si="4"/>
        <v>Young</v>
      </c>
      <c r="D262" t="s">
        <v>3</v>
      </c>
      <c r="E262" t="s">
        <v>0</v>
      </c>
      <c r="F262" s="1">
        <v>44993</v>
      </c>
      <c r="G262" s="10">
        <v>45664.480000000003</v>
      </c>
      <c r="H262">
        <v>29</v>
      </c>
    </row>
    <row r="263" spans="1:8" x14ac:dyDescent="0.5">
      <c r="A263" s="3">
        <v>177</v>
      </c>
      <c r="B263" s="3">
        <v>31</v>
      </c>
      <c r="C263" s="3" t="str">
        <f t="shared" si="4"/>
        <v>Middle Age</v>
      </c>
      <c r="D263" t="s">
        <v>3</v>
      </c>
      <c r="E263" t="s">
        <v>0</v>
      </c>
      <c r="F263" s="1">
        <v>45314</v>
      </c>
      <c r="G263" s="10">
        <v>74669.899999999994</v>
      </c>
      <c r="H263">
        <v>2</v>
      </c>
    </row>
    <row r="264" spans="1:8" x14ac:dyDescent="0.5">
      <c r="A264" s="3">
        <v>428</v>
      </c>
      <c r="B264" s="3">
        <v>43</v>
      </c>
      <c r="C264" s="3" t="str">
        <f t="shared" si="4"/>
        <v>Middle Age</v>
      </c>
      <c r="D264" t="s">
        <v>5</v>
      </c>
      <c r="E264" t="s">
        <v>6</v>
      </c>
      <c r="F264" s="1">
        <v>45113</v>
      </c>
      <c r="G264" s="10">
        <v>25905.71</v>
      </c>
      <c r="H264">
        <v>3</v>
      </c>
    </row>
    <row r="265" spans="1:8" x14ac:dyDescent="0.5">
      <c r="A265" s="3">
        <v>6</v>
      </c>
      <c r="B265" s="3">
        <v>23</v>
      </c>
      <c r="C265" s="3" t="str">
        <f t="shared" si="4"/>
        <v>Young</v>
      </c>
      <c r="D265" t="s">
        <v>5</v>
      </c>
      <c r="E265" t="s">
        <v>2</v>
      </c>
      <c r="F265" s="1">
        <v>44992</v>
      </c>
      <c r="G265" s="10">
        <v>33253.74</v>
      </c>
      <c r="H265">
        <v>24</v>
      </c>
    </row>
    <row r="266" spans="1:8" x14ac:dyDescent="0.5">
      <c r="A266" s="3">
        <v>406</v>
      </c>
      <c r="B266" s="3">
        <v>23</v>
      </c>
      <c r="C266" s="3" t="str">
        <f t="shared" si="4"/>
        <v>Young</v>
      </c>
      <c r="D266" t="s">
        <v>5</v>
      </c>
      <c r="E266" t="s">
        <v>1</v>
      </c>
      <c r="F266" s="1">
        <v>45044</v>
      </c>
      <c r="G266" s="10">
        <v>30878.91</v>
      </c>
      <c r="H266">
        <v>21</v>
      </c>
    </row>
    <row r="267" spans="1:8" x14ac:dyDescent="0.5">
      <c r="A267" s="3">
        <v>145</v>
      </c>
      <c r="B267" s="3">
        <v>23</v>
      </c>
      <c r="C267" s="3" t="str">
        <f t="shared" si="4"/>
        <v>Young</v>
      </c>
      <c r="D267" t="s">
        <v>3</v>
      </c>
      <c r="E267" t="s">
        <v>1</v>
      </c>
      <c r="F267" s="1">
        <v>45279</v>
      </c>
      <c r="G267" s="10">
        <v>61460.63</v>
      </c>
      <c r="H267">
        <v>2</v>
      </c>
    </row>
    <row r="268" spans="1:8" x14ac:dyDescent="0.5">
      <c r="A268" s="3">
        <v>490</v>
      </c>
      <c r="B268" s="3">
        <v>90</v>
      </c>
      <c r="C268" s="3" t="str">
        <f t="shared" si="4"/>
        <v>Old</v>
      </c>
      <c r="D268" t="s">
        <v>3</v>
      </c>
      <c r="E268" t="s">
        <v>4</v>
      </c>
      <c r="F268" s="1">
        <v>44984</v>
      </c>
      <c r="G268" s="10">
        <v>13199.72</v>
      </c>
      <c r="H268">
        <v>13</v>
      </c>
    </row>
    <row r="269" spans="1:8" x14ac:dyDescent="0.5">
      <c r="A269" s="3">
        <v>12</v>
      </c>
      <c r="B269" s="3">
        <v>23</v>
      </c>
      <c r="C269" s="3" t="str">
        <f t="shared" si="4"/>
        <v>Young</v>
      </c>
      <c r="D269" t="s">
        <v>3</v>
      </c>
      <c r="E269" t="s">
        <v>6</v>
      </c>
      <c r="F269" s="1">
        <v>45239</v>
      </c>
      <c r="G269" s="10">
        <v>69371.23</v>
      </c>
      <c r="H269">
        <v>7</v>
      </c>
    </row>
    <row r="270" spans="1:8" x14ac:dyDescent="0.5">
      <c r="A270" s="3">
        <v>363</v>
      </c>
      <c r="B270" s="3">
        <v>80</v>
      </c>
      <c r="C270" s="3" t="str">
        <f t="shared" si="4"/>
        <v>Old</v>
      </c>
      <c r="D270" t="s">
        <v>5</v>
      </c>
      <c r="E270" t="s">
        <v>6</v>
      </c>
      <c r="F270" s="1">
        <v>45272</v>
      </c>
      <c r="G270" s="10">
        <v>5672.04</v>
      </c>
      <c r="H270">
        <v>19</v>
      </c>
    </row>
    <row r="271" spans="1:8" x14ac:dyDescent="0.5">
      <c r="A271" s="3">
        <v>161</v>
      </c>
      <c r="B271" s="3">
        <v>90</v>
      </c>
      <c r="C271" s="3" t="str">
        <f t="shared" si="4"/>
        <v>Old</v>
      </c>
      <c r="D271" t="s">
        <v>3</v>
      </c>
      <c r="E271" t="s">
        <v>0</v>
      </c>
      <c r="F271" s="1">
        <v>45152</v>
      </c>
      <c r="G271" s="10">
        <v>31485.61</v>
      </c>
      <c r="H271">
        <v>8</v>
      </c>
    </row>
    <row r="272" spans="1:8" x14ac:dyDescent="0.5">
      <c r="A272" s="3">
        <v>297</v>
      </c>
      <c r="B272" s="3">
        <v>90</v>
      </c>
      <c r="C272" s="3" t="str">
        <f t="shared" si="4"/>
        <v>Old</v>
      </c>
      <c r="D272" t="s">
        <v>3</v>
      </c>
      <c r="E272" t="s">
        <v>6</v>
      </c>
      <c r="F272" s="1">
        <v>45192</v>
      </c>
      <c r="G272" s="10">
        <v>35244.51</v>
      </c>
      <c r="H272">
        <v>8</v>
      </c>
    </row>
    <row r="273" spans="1:8" x14ac:dyDescent="0.5">
      <c r="A273" s="3">
        <v>37</v>
      </c>
      <c r="B273" s="3">
        <v>90</v>
      </c>
      <c r="C273" s="3" t="str">
        <f t="shared" si="4"/>
        <v>Old</v>
      </c>
      <c r="D273" t="s">
        <v>3</v>
      </c>
      <c r="E273" t="s">
        <v>2</v>
      </c>
      <c r="F273" s="1">
        <v>45058</v>
      </c>
      <c r="G273" s="10">
        <v>76050.5</v>
      </c>
      <c r="H273">
        <v>19</v>
      </c>
    </row>
    <row r="274" spans="1:8" x14ac:dyDescent="0.5">
      <c r="A274" s="3">
        <v>70</v>
      </c>
      <c r="B274" s="3">
        <v>23</v>
      </c>
      <c r="C274" s="3" t="str">
        <f t="shared" si="4"/>
        <v>Young</v>
      </c>
      <c r="D274" t="s">
        <v>5</v>
      </c>
      <c r="E274" t="s">
        <v>1</v>
      </c>
      <c r="F274" s="1">
        <v>45050</v>
      </c>
      <c r="G274" s="10">
        <v>88392.08</v>
      </c>
      <c r="H274">
        <v>6</v>
      </c>
    </row>
    <row r="275" spans="1:8" x14ac:dyDescent="0.5">
      <c r="A275" s="3">
        <v>413</v>
      </c>
      <c r="B275" s="3">
        <v>21</v>
      </c>
      <c r="C275" s="3" t="str">
        <f t="shared" si="4"/>
        <v>Young</v>
      </c>
      <c r="D275" t="s">
        <v>3</v>
      </c>
      <c r="E275" t="s">
        <v>0</v>
      </c>
      <c r="F275" s="1">
        <v>45093</v>
      </c>
      <c r="G275" s="10">
        <v>14135.27</v>
      </c>
      <c r="H275">
        <v>10</v>
      </c>
    </row>
    <row r="276" spans="1:8" x14ac:dyDescent="0.5">
      <c r="A276" s="3">
        <v>364</v>
      </c>
      <c r="B276" s="3">
        <v>72</v>
      </c>
      <c r="C276" s="3" t="str">
        <f t="shared" si="4"/>
        <v>Old</v>
      </c>
      <c r="D276" t="s">
        <v>3</v>
      </c>
      <c r="E276" t="s">
        <v>4</v>
      </c>
      <c r="F276" s="1">
        <v>45241</v>
      </c>
      <c r="G276" s="10">
        <v>74159.94</v>
      </c>
      <c r="H276">
        <v>28</v>
      </c>
    </row>
    <row r="277" spans="1:8" x14ac:dyDescent="0.5">
      <c r="A277" s="3">
        <v>94</v>
      </c>
      <c r="B277" s="3">
        <v>90</v>
      </c>
      <c r="C277" s="3" t="str">
        <f t="shared" si="4"/>
        <v>Old</v>
      </c>
      <c r="D277" t="s">
        <v>5</v>
      </c>
      <c r="E277" t="s">
        <v>0</v>
      </c>
      <c r="F277" s="1">
        <v>45225</v>
      </c>
      <c r="G277" s="10">
        <v>90830.93</v>
      </c>
      <c r="H277">
        <v>13</v>
      </c>
    </row>
    <row r="278" spans="1:8" x14ac:dyDescent="0.5">
      <c r="A278" s="3">
        <v>318</v>
      </c>
      <c r="B278" s="3">
        <v>48</v>
      </c>
      <c r="C278" s="3" t="str">
        <f t="shared" si="4"/>
        <v>Middle Age</v>
      </c>
      <c r="D278" t="s">
        <v>5</v>
      </c>
      <c r="E278" t="s">
        <v>2</v>
      </c>
      <c r="F278" s="1">
        <v>45269</v>
      </c>
      <c r="G278" s="10">
        <v>23892.05</v>
      </c>
      <c r="H278">
        <v>1</v>
      </c>
    </row>
    <row r="279" spans="1:8" x14ac:dyDescent="0.5">
      <c r="A279" s="3">
        <v>367</v>
      </c>
      <c r="B279" s="3">
        <v>23</v>
      </c>
      <c r="C279" s="3" t="str">
        <f t="shared" si="4"/>
        <v>Young</v>
      </c>
      <c r="D279" t="s">
        <v>3</v>
      </c>
      <c r="E279" t="s">
        <v>2</v>
      </c>
      <c r="F279" s="1">
        <v>45003</v>
      </c>
      <c r="G279" s="10">
        <v>53960.15</v>
      </c>
      <c r="H279">
        <v>0</v>
      </c>
    </row>
    <row r="280" spans="1:8" x14ac:dyDescent="0.5">
      <c r="A280" s="3">
        <v>491</v>
      </c>
      <c r="B280" s="3">
        <v>23</v>
      </c>
      <c r="C280" s="3" t="str">
        <f t="shared" si="4"/>
        <v>Young</v>
      </c>
      <c r="D280" t="s">
        <v>5</v>
      </c>
      <c r="E280" t="s">
        <v>0</v>
      </c>
      <c r="F280" s="1">
        <v>45035</v>
      </c>
      <c r="G280" s="10">
        <v>59715.59</v>
      </c>
      <c r="H280">
        <v>9</v>
      </c>
    </row>
    <row r="281" spans="1:8" x14ac:dyDescent="0.5">
      <c r="A281" s="3">
        <v>437</v>
      </c>
      <c r="B281" s="3">
        <v>44</v>
      </c>
      <c r="C281" s="3" t="str">
        <f t="shared" si="4"/>
        <v>Middle Age</v>
      </c>
      <c r="D281" t="s">
        <v>5</v>
      </c>
      <c r="E281" t="s">
        <v>2</v>
      </c>
      <c r="F281" s="1">
        <v>45074</v>
      </c>
      <c r="G281" s="10">
        <v>15296.48</v>
      </c>
      <c r="H281">
        <v>22</v>
      </c>
    </row>
    <row r="282" spans="1:8" x14ac:dyDescent="0.5">
      <c r="A282" s="3">
        <v>497</v>
      </c>
      <c r="B282" s="3">
        <v>60</v>
      </c>
      <c r="C282" s="3" t="str">
        <f t="shared" si="4"/>
        <v>Old</v>
      </c>
      <c r="D282" t="s">
        <v>5</v>
      </c>
      <c r="E282" t="s">
        <v>0</v>
      </c>
      <c r="F282" s="1">
        <v>45105</v>
      </c>
      <c r="G282" s="10">
        <v>28351.08</v>
      </c>
      <c r="H282">
        <v>23</v>
      </c>
    </row>
    <row r="283" spans="1:8" x14ac:dyDescent="0.5">
      <c r="A283" s="3">
        <v>224</v>
      </c>
      <c r="B283" s="3">
        <v>96</v>
      </c>
      <c r="C283" s="3" t="str">
        <f t="shared" si="4"/>
        <v>Old</v>
      </c>
      <c r="D283" t="s">
        <v>5</v>
      </c>
      <c r="E283" t="s">
        <v>6</v>
      </c>
      <c r="F283" s="1">
        <v>44959</v>
      </c>
      <c r="G283" s="10">
        <v>33117.51</v>
      </c>
      <c r="H283">
        <v>29</v>
      </c>
    </row>
    <row r="284" spans="1:8" x14ac:dyDescent="0.5">
      <c r="A284" s="3">
        <v>136</v>
      </c>
      <c r="B284" s="3">
        <v>23</v>
      </c>
      <c r="C284" s="3" t="str">
        <f t="shared" si="4"/>
        <v>Young</v>
      </c>
      <c r="D284" t="s">
        <v>5</v>
      </c>
      <c r="E284" t="s">
        <v>0</v>
      </c>
      <c r="F284" s="1">
        <v>45015</v>
      </c>
      <c r="G284" s="10">
        <v>66125.960000000006</v>
      </c>
      <c r="H284">
        <v>2</v>
      </c>
    </row>
    <row r="285" spans="1:8" x14ac:dyDescent="0.5">
      <c r="A285" s="3">
        <v>93</v>
      </c>
      <c r="B285" s="3">
        <v>36</v>
      </c>
      <c r="C285" s="3" t="str">
        <f t="shared" si="4"/>
        <v>Middle Age</v>
      </c>
      <c r="D285" t="s">
        <v>5</v>
      </c>
      <c r="E285" t="s">
        <v>2</v>
      </c>
      <c r="F285" s="1">
        <v>45298</v>
      </c>
      <c r="G285" s="10">
        <v>40112.94</v>
      </c>
      <c r="H285">
        <v>3</v>
      </c>
    </row>
    <row r="286" spans="1:8" x14ac:dyDescent="0.5">
      <c r="A286" s="3">
        <v>315</v>
      </c>
      <c r="B286" s="3">
        <v>94</v>
      </c>
      <c r="C286" s="3" t="str">
        <f t="shared" si="4"/>
        <v>Old</v>
      </c>
      <c r="D286" t="s">
        <v>3</v>
      </c>
      <c r="E286" t="s">
        <v>1</v>
      </c>
      <c r="F286" s="1">
        <v>45298</v>
      </c>
      <c r="G286" s="10">
        <v>11711.8</v>
      </c>
      <c r="H286">
        <v>28</v>
      </c>
    </row>
    <row r="287" spans="1:8" x14ac:dyDescent="0.5">
      <c r="A287" s="3">
        <v>179</v>
      </c>
      <c r="B287" s="3">
        <v>84</v>
      </c>
      <c r="C287" s="3" t="str">
        <f t="shared" si="4"/>
        <v>Old</v>
      </c>
      <c r="D287" t="s">
        <v>3</v>
      </c>
      <c r="E287" t="s">
        <v>4</v>
      </c>
      <c r="F287" s="1">
        <v>45206</v>
      </c>
      <c r="G287" s="10">
        <v>59753.94</v>
      </c>
      <c r="H287">
        <v>3</v>
      </c>
    </row>
    <row r="288" spans="1:8" x14ac:dyDescent="0.5">
      <c r="A288" s="3">
        <v>177</v>
      </c>
      <c r="B288" s="3">
        <v>69</v>
      </c>
      <c r="C288" s="3" t="str">
        <f t="shared" si="4"/>
        <v>Old</v>
      </c>
      <c r="D288" t="s">
        <v>3</v>
      </c>
      <c r="E288" t="s">
        <v>0</v>
      </c>
      <c r="F288" s="1">
        <v>45190</v>
      </c>
      <c r="G288" s="10">
        <v>48844.36</v>
      </c>
      <c r="H288">
        <v>2</v>
      </c>
    </row>
    <row r="289" spans="1:8" x14ac:dyDescent="0.5">
      <c r="A289" s="3">
        <v>335</v>
      </c>
      <c r="B289" s="3">
        <v>83</v>
      </c>
      <c r="C289" s="3" t="str">
        <f t="shared" si="4"/>
        <v>Old</v>
      </c>
      <c r="D289" t="s">
        <v>5</v>
      </c>
      <c r="E289" t="s">
        <v>2</v>
      </c>
      <c r="F289" s="1">
        <v>45252</v>
      </c>
      <c r="G289" s="10">
        <v>86509.37</v>
      </c>
      <c r="H289">
        <v>18</v>
      </c>
    </row>
    <row r="290" spans="1:8" x14ac:dyDescent="0.5">
      <c r="A290" s="3">
        <v>447</v>
      </c>
      <c r="B290" s="3">
        <v>69</v>
      </c>
      <c r="C290" s="3" t="str">
        <f t="shared" si="4"/>
        <v>Old</v>
      </c>
      <c r="D290" t="s">
        <v>3</v>
      </c>
      <c r="E290" t="s">
        <v>2</v>
      </c>
      <c r="F290" s="1">
        <v>45320</v>
      </c>
      <c r="G290" s="10">
        <v>83227.63</v>
      </c>
      <c r="H290">
        <v>23</v>
      </c>
    </row>
    <row r="291" spans="1:8" x14ac:dyDescent="0.5">
      <c r="A291" s="3">
        <v>462</v>
      </c>
      <c r="B291" s="3">
        <v>1</v>
      </c>
      <c r="C291" s="3" t="str">
        <f t="shared" si="4"/>
        <v>Young</v>
      </c>
      <c r="D291" t="s">
        <v>5</v>
      </c>
      <c r="E291" t="s">
        <v>4</v>
      </c>
      <c r="F291" s="1">
        <v>45219</v>
      </c>
      <c r="G291" s="10">
        <v>73920.149999999994</v>
      </c>
      <c r="H291">
        <v>5</v>
      </c>
    </row>
    <row r="292" spans="1:8" x14ac:dyDescent="0.5">
      <c r="A292" s="3">
        <v>212</v>
      </c>
      <c r="B292" s="3">
        <v>59</v>
      </c>
      <c r="C292" s="3" t="str">
        <f t="shared" si="4"/>
        <v>Old</v>
      </c>
      <c r="D292" t="s">
        <v>3</v>
      </c>
      <c r="E292" t="s">
        <v>4</v>
      </c>
      <c r="F292" s="1">
        <v>45006</v>
      </c>
      <c r="G292" s="10">
        <v>2968.43</v>
      </c>
      <c r="H292">
        <v>18</v>
      </c>
    </row>
    <row r="293" spans="1:8" x14ac:dyDescent="0.5">
      <c r="A293" s="3">
        <v>106</v>
      </c>
      <c r="B293" s="3">
        <v>77</v>
      </c>
      <c r="C293" s="3" t="str">
        <f t="shared" si="4"/>
        <v>Old</v>
      </c>
      <c r="D293" t="s">
        <v>5</v>
      </c>
      <c r="E293" t="s">
        <v>6</v>
      </c>
      <c r="F293" s="1">
        <v>45180</v>
      </c>
      <c r="G293" s="10">
        <v>21573.03</v>
      </c>
      <c r="H293">
        <v>25</v>
      </c>
    </row>
    <row r="294" spans="1:8" x14ac:dyDescent="0.5">
      <c r="A294" s="3">
        <v>78</v>
      </c>
      <c r="B294" s="3">
        <v>90</v>
      </c>
      <c r="C294" s="3" t="str">
        <f t="shared" si="4"/>
        <v>Old</v>
      </c>
      <c r="D294" t="s">
        <v>5</v>
      </c>
      <c r="E294" t="s">
        <v>2</v>
      </c>
      <c r="F294" s="1">
        <v>45239</v>
      </c>
      <c r="G294" s="10">
        <v>50248.21</v>
      </c>
      <c r="H294">
        <v>12</v>
      </c>
    </row>
    <row r="295" spans="1:8" x14ac:dyDescent="0.5">
      <c r="A295" s="3">
        <v>25</v>
      </c>
      <c r="B295" s="3">
        <v>23</v>
      </c>
      <c r="C295" s="3" t="str">
        <f t="shared" si="4"/>
        <v>Young</v>
      </c>
      <c r="D295" t="s">
        <v>3</v>
      </c>
      <c r="E295" t="s">
        <v>1</v>
      </c>
      <c r="F295" s="1">
        <v>45245</v>
      </c>
      <c r="G295" s="10">
        <v>61415.32</v>
      </c>
      <c r="H295">
        <v>2</v>
      </c>
    </row>
    <row r="296" spans="1:8" x14ac:dyDescent="0.5">
      <c r="A296" s="3">
        <v>68</v>
      </c>
      <c r="B296" s="3">
        <v>90</v>
      </c>
      <c r="C296" s="3" t="str">
        <f t="shared" si="4"/>
        <v>Old</v>
      </c>
      <c r="D296" t="s">
        <v>3</v>
      </c>
      <c r="E296" t="s">
        <v>6</v>
      </c>
      <c r="F296" s="1">
        <v>45092</v>
      </c>
      <c r="G296" s="10">
        <v>52703.71</v>
      </c>
      <c r="H296">
        <v>3</v>
      </c>
    </row>
    <row r="297" spans="1:8" x14ac:dyDescent="0.5">
      <c r="A297" s="3">
        <v>392</v>
      </c>
      <c r="B297" s="3">
        <v>90</v>
      </c>
      <c r="C297" s="3" t="str">
        <f t="shared" si="4"/>
        <v>Old</v>
      </c>
      <c r="D297" t="s">
        <v>5</v>
      </c>
      <c r="E297" t="s">
        <v>6</v>
      </c>
      <c r="F297" s="1">
        <v>45170</v>
      </c>
      <c r="G297" s="10">
        <v>63474.99</v>
      </c>
      <c r="H297">
        <v>25</v>
      </c>
    </row>
    <row r="298" spans="1:8" x14ac:dyDescent="0.5">
      <c r="A298" s="3">
        <v>50</v>
      </c>
      <c r="B298" s="3">
        <v>90</v>
      </c>
      <c r="C298" s="3" t="str">
        <f t="shared" si="4"/>
        <v>Old</v>
      </c>
      <c r="D298" t="s">
        <v>5</v>
      </c>
      <c r="E298" t="s">
        <v>4</v>
      </c>
      <c r="F298" s="1">
        <v>45023</v>
      </c>
      <c r="G298" s="10">
        <v>53391.7</v>
      </c>
      <c r="H298">
        <v>0</v>
      </c>
    </row>
    <row r="299" spans="1:8" x14ac:dyDescent="0.5">
      <c r="A299" s="3">
        <v>491</v>
      </c>
      <c r="B299" s="3">
        <v>97</v>
      </c>
      <c r="C299" s="3" t="str">
        <f t="shared" si="4"/>
        <v>Old</v>
      </c>
      <c r="D299" t="s">
        <v>5</v>
      </c>
      <c r="E299" t="s">
        <v>0</v>
      </c>
      <c r="F299" s="1">
        <v>45161</v>
      </c>
      <c r="G299" s="10">
        <v>75827</v>
      </c>
      <c r="H299">
        <v>13</v>
      </c>
    </row>
    <row r="300" spans="1:8" x14ac:dyDescent="0.5">
      <c r="A300" s="3">
        <v>417</v>
      </c>
      <c r="B300" s="3">
        <v>23</v>
      </c>
      <c r="C300" s="3" t="str">
        <f t="shared" si="4"/>
        <v>Young</v>
      </c>
      <c r="D300" t="s">
        <v>3</v>
      </c>
      <c r="E300" t="s">
        <v>2</v>
      </c>
      <c r="F300" s="1">
        <v>45294</v>
      </c>
      <c r="G300" s="10">
        <v>70337.72</v>
      </c>
      <c r="H300">
        <v>16</v>
      </c>
    </row>
    <row r="301" spans="1:8" x14ac:dyDescent="0.5">
      <c r="A301" s="3">
        <v>34</v>
      </c>
      <c r="B301" s="3">
        <v>59</v>
      </c>
      <c r="C301" s="3" t="str">
        <f t="shared" si="4"/>
        <v>Old</v>
      </c>
      <c r="D301" t="s">
        <v>5</v>
      </c>
      <c r="E301" t="s">
        <v>2</v>
      </c>
      <c r="F301" s="1">
        <v>45162</v>
      </c>
      <c r="G301" s="10">
        <v>40605.97</v>
      </c>
      <c r="H301">
        <v>29</v>
      </c>
    </row>
    <row r="302" spans="1:8" x14ac:dyDescent="0.5">
      <c r="A302" s="3">
        <v>332</v>
      </c>
      <c r="B302" s="3">
        <v>56</v>
      </c>
      <c r="C302" s="3" t="str">
        <f t="shared" si="4"/>
        <v>Old</v>
      </c>
      <c r="D302" t="s">
        <v>3</v>
      </c>
      <c r="E302" t="s">
        <v>4</v>
      </c>
      <c r="F302" s="1">
        <v>44955</v>
      </c>
      <c r="G302" s="10">
        <v>2247.13</v>
      </c>
      <c r="H302">
        <v>2</v>
      </c>
    </row>
    <row r="303" spans="1:8" x14ac:dyDescent="0.5">
      <c r="A303" s="3">
        <v>348</v>
      </c>
      <c r="B303" s="3">
        <v>23</v>
      </c>
      <c r="C303" s="3" t="str">
        <f t="shared" si="4"/>
        <v>Young</v>
      </c>
      <c r="D303" t="s">
        <v>5</v>
      </c>
      <c r="E303" t="s">
        <v>1</v>
      </c>
      <c r="F303" s="1">
        <v>45276</v>
      </c>
      <c r="G303" s="10">
        <v>78880.460000000006</v>
      </c>
      <c r="H303">
        <v>28</v>
      </c>
    </row>
    <row r="304" spans="1:8" x14ac:dyDescent="0.5">
      <c r="A304" s="3">
        <v>69</v>
      </c>
      <c r="B304" s="3">
        <v>68</v>
      </c>
      <c r="C304" s="3" t="str">
        <f t="shared" si="4"/>
        <v>Old</v>
      </c>
      <c r="D304" t="s">
        <v>5</v>
      </c>
      <c r="E304" t="s">
        <v>2</v>
      </c>
      <c r="F304" s="1">
        <v>45165</v>
      </c>
      <c r="G304" s="10">
        <v>62770.879999999997</v>
      </c>
      <c r="H304">
        <v>7</v>
      </c>
    </row>
    <row r="305" spans="1:8" x14ac:dyDescent="0.5">
      <c r="A305" s="3">
        <v>231</v>
      </c>
      <c r="B305" s="3">
        <v>90</v>
      </c>
      <c r="C305" s="3" t="str">
        <f t="shared" si="4"/>
        <v>Old</v>
      </c>
      <c r="D305" t="s">
        <v>5</v>
      </c>
      <c r="E305" t="s">
        <v>6</v>
      </c>
      <c r="F305" s="1">
        <v>45078</v>
      </c>
      <c r="G305" s="10">
        <v>30221.55</v>
      </c>
      <c r="H305">
        <v>7</v>
      </c>
    </row>
    <row r="306" spans="1:8" x14ac:dyDescent="0.5">
      <c r="A306" s="3">
        <v>96</v>
      </c>
      <c r="B306" s="3">
        <v>32</v>
      </c>
      <c r="C306" s="3" t="str">
        <f t="shared" si="4"/>
        <v>Middle Age</v>
      </c>
      <c r="D306" t="s">
        <v>5</v>
      </c>
      <c r="E306" t="s">
        <v>1</v>
      </c>
      <c r="F306" s="1">
        <v>45231</v>
      </c>
      <c r="G306" s="10">
        <v>35875.31</v>
      </c>
      <c r="H306">
        <v>13</v>
      </c>
    </row>
    <row r="307" spans="1:8" x14ac:dyDescent="0.5">
      <c r="A307" s="3">
        <v>252</v>
      </c>
      <c r="B307" s="3">
        <v>39</v>
      </c>
      <c r="C307" s="3" t="str">
        <f t="shared" si="4"/>
        <v>Middle Age</v>
      </c>
      <c r="D307" t="s">
        <v>3</v>
      </c>
      <c r="E307" t="s">
        <v>6</v>
      </c>
      <c r="F307" s="1">
        <v>44969</v>
      </c>
      <c r="G307" s="10">
        <v>13544.83</v>
      </c>
      <c r="H307">
        <v>16</v>
      </c>
    </row>
    <row r="308" spans="1:8" x14ac:dyDescent="0.5">
      <c r="A308" s="3">
        <v>498</v>
      </c>
      <c r="B308" s="3">
        <v>58</v>
      </c>
      <c r="C308" s="3" t="str">
        <f t="shared" si="4"/>
        <v>Old</v>
      </c>
      <c r="D308" t="s">
        <v>5</v>
      </c>
      <c r="E308" t="s">
        <v>6</v>
      </c>
      <c r="F308" s="1">
        <v>45008</v>
      </c>
      <c r="G308" s="10">
        <v>69254.23</v>
      </c>
      <c r="H308">
        <v>21</v>
      </c>
    </row>
    <row r="309" spans="1:8" x14ac:dyDescent="0.5">
      <c r="A309" s="3">
        <v>62</v>
      </c>
      <c r="B309" s="3">
        <v>90</v>
      </c>
      <c r="C309" s="3" t="str">
        <f t="shared" si="4"/>
        <v>Old</v>
      </c>
      <c r="D309" t="s">
        <v>3</v>
      </c>
      <c r="E309" t="s">
        <v>6</v>
      </c>
      <c r="F309" s="1">
        <v>45160</v>
      </c>
      <c r="G309" s="10">
        <v>55315.44</v>
      </c>
      <c r="H309">
        <v>21</v>
      </c>
    </row>
    <row r="310" spans="1:8" x14ac:dyDescent="0.5">
      <c r="A310" s="3">
        <v>351</v>
      </c>
      <c r="B310" s="3">
        <v>46</v>
      </c>
      <c r="C310" s="3" t="str">
        <f t="shared" si="4"/>
        <v>Middle Age</v>
      </c>
      <c r="D310" t="s">
        <v>5</v>
      </c>
      <c r="E310" t="s">
        <v>6</v>
      </c>
      <c r="F310" s="1">
        <v>45017</v>
      </c>
      <c r="G310" s="10">
        <v>66507.27</v>
      </c>
      <c r="H310">
        <v>19</v>
      </c>
    </row>
    <row r="311" spans="1:8" x14ac:dyDescent="0.5">
      <c r="A311" s="3">
        <v>79</v>
      </c>
      <c r="B311" s="3">
        <v>58</v>
      </c>
      <c r="C311" s="3" t="str">
        <f t="shared" si="4"/>
        <v>Old</v>
      </c>
      <c r="D311" t="s">
        <v>5</v>
      </c>
      <c r="E311" t="s">
        <v>0</v>
      </c>
      <c r="F311" s="1">
        <v>44945</v>
      </c>
      <c r="G311" s="10">
        <v>44982.3</v>
      </c>
      <c r="H311">
        <v>13</v>
      </c>
    </row>
    <row r="312" spans="1:8" x14ac:dyDescent="0.5">
      <c r="A312" s="3">
        <v>365</v>
      </c>
      <c r="B312" s="3">
        <v>90</v>
      </c>
      <c r="C312" s="3" t="str">
        <f t="shared" si="4"/>
        <v>Old</v>
      </c>
      <c r="D312" t="s">
        <v>5</v>
      </c>
      <c r="E312" t="s">
        <v>1</v>
      </c>
      <c r="F312" s="1">
        <v>45268</v>
      </c>
      <c r="G312" s="10">
        <v>55100.89</v>
      </c>
      <c r="H312">
        <v>22</v>
      </c>
    </row>
    <row r="313" spans="1:8" x14ac:dyDescent="0.5">
      <c r="A313" s="3">
        <v>428</v>
      </c>
      <c r="B313" s="3">
        <v>93</v>
      </c>
      <c r="C313" s="3" t="str">
        <f t="shared" si="4"/>
        <v>Old</v>
      </c>
      <c r="D313" t="s">
        <v>5</v>
      </c>
      <c r="E313" t="s">
        <v>0</v>
      </c>
      <c r="F313" s="1">
        <v>45209</v>
      </c>
      <c r="G313" s="10">
        <v>94659.43</v>
      </c>
      <c r="H313">
        <v>1</v>
      </c>
    </row>
    <row r="314" spans="1:8" x14ac:dyDescent="0.5">
      <c r="A314" s="3">
        <v>77</v>
      </c>
      <c r="B314" s="3">
        <v>23</v>
      </c>
      <c r="C314" s="3" t="str">
        <f t="shared" si="4"/>
        <v>Young</v>
      </c>
      <c r="D314" t="s">
        <v>3</v>
      </c>
      <c r="E314" t="s">
        <v>0</v>
      </c>
      <c r="F314" s="1">
        <v>44938</v>
      </c>
      <c r="G314" s="10">
        <v>58566.86</v>
      </c>
      <c r="H314">
        <v>22</v>
      </c>
    </row>
    <row r="315" spans="1:8" x14ac:dyDescent="0.5">
      <c r="A315" s="3">
        <v>401</v>
      </c>
      <c r="B315" s="3">
        <v>23</v>
      </c>
      <c r="C315" s="3" t="str">
        <f t="shared" si="4"/>
        <v>Young</v>
      </c>
      <c r="D315" t="s">
        <v>5</v>
      </c>
      <c r="E315" t="s">
        <v>2</v>
      </c>
      <c r="F315" s="1">
        <v>45213</v>
      </c>
      <c r="G315" s="10">
        <v>39904.89</v>
      </c>
      <c r="H315">
        <v>15</v>
      </c>
    </row>
    <row r="316" spans="1:8" x14ac:dyDescent="0.5">
      <c r="A316" s="3">
        <v>411</v>
      </c>
      <c r="B316" s="3">
        <v>23</v>
      </c>
      <c r="C316" s="3" t="str">
        <f t="shared" si="4"/>
        <v>Young</v>
      </c>
      <c r="D316" t="s">
        <v>5</v>
      </c>
      <c r="E316" t="s">
        <v>2</v>
      </c>
      <c r="F316" s="1">
        <v>44959</v>
      </c>
      <c r="G316" s="10">
        <v>3853.81</v>
      </c>
      <c r="H316">
        <v>25</v>
      </c>
    </row>
    <row r="317" spans="1:8" x14ac:dyDescent="0.5">
      <c r="A317" s="3">
        <v>481</v>
      </c>
      <c r="B317" s="3">
        <v>54</v>
      </c>
      <c r="C317" s="3" t="str">
        <f t="shared" si="4"/>
        <v>Middle Age</v>
      </c>
      <c r="D317" t="s">
        <v>5</v>
      </c>
      <c r="E317" t="s">
        <v>2</v>
      </c>
      <c r="F317" s="1">
        <v>45219</v>
      </c>
      <c r="G317" s="10">
        <v>18424.490000000002</v>
      </c>
      <c r="H317">
        <v>7</v>
      </c>
    </row>
    <row r="318" spans="1:8" x14ac:dyDescent="0.5">
      <c r="A318" s="3">
        <v>381</v>
      </c>
      <c r="B318" s="3">
        <v>23</v>
      </c>
      <c r="C318" s="3" t="str">
        <f t="shared" si="4"/>
        <v>Young</v>
      </c>
      <c r="D318" t="s">
        <v>5</v>
      </c>
      <c r="E318" t="s">
        <v>1</v>
      </c>
      <c r="F318" s="1">
        <v>44929</v>
      </c>
      <c r="G318" s="10">
        <v>24654.58</v>
      </c>
      <c r="H318">
        <v>21</v>
      </c>
    </row>
    <row r="319" spans="1:8" x14ac:dyDescent="0.5">
      <c r="A319" s="3">
        <v>492</v>
      </c>
      <c r="B319" s="3">
        <v>89</v>
      </c>
      <c r="C319" s="3" t="str">
        <f t="shared" si="4"/>
        <v>Old</v>
      </c>
      <c r="D319" t="s">
        <v>3</v>
      </c>
      <c r="E319" t="s">
        <v>4</v>
      </c>
      <c r="F319" s="1">
        <v>45252</v>
      </c>
      <c r="G319" s="10">
        <v>86673.67</v>
      </c>
      <c r="H319">
        <v>11</v>
      </c>
    </row>
    <row r="320" spans="1:8" x14ac:dyDescent="0.5">
      <c r="A320" s="3">
        <v>354</v>
      </c>
      <c r="B320" s="3">
        <v>102</v>
      </c>
      <c r="C320" s="3" t="str">
        <f t="shared" si="4"/>
        <v>Old</v>
      </c>
      <c r="D320" t="s">
        <v>3</v>
      </c>
      <c r="E320" t="s">
        <v>6</v>
      </c>
      <c r="F320" s="1">
        <v>45035</v>
      </c>
      <c r="G320" s="10">
        <v>43221.35</v>
      </c>
      <c r="H320">
        <v>5</v>
      </c>
    </row>
    <row r="321" spans="1:8" x14ac:dyDescent="0.5">
      <c r="A321" s="3">
        <v>9</v>
      </c>
      <c r="B321" s="3">
        <v>50</v>
      </c>
      <c r="C321" s="3" t="str">
        <f t="shared" si="4"/>
        <v>Middle Age</v>
      </c>
      <c r="D321" t="s">
        <v>3</v>
      </c>
      <c r="E321" t="s">
        <v>6</v>
      </c>
      <c r="F321" s="1">
        <v>45191</v>
      </c>
      <c r="G321" s="10">
        <v>33792.949999999997</v>
      </c>
      <c r="H321">
        <v>2</v>
      </c>
    </row>
    <row r="322" spans="1:8" x14ac:dyDescent="0.5">
      <c r="A322" s="3">
        <v>181</v>
      </c>
      <c r="B322" s="3">
        <v>64</v>
      </c>
      <c r="C322" s="3" t="str">
        <f t="shared" ref="C322:C385" si="5">IF(B322&lt;=30,"Young", IF(B322&lt;=55,"Middle Age",IF(B322&gt;55,"Old","Not found")))</f>
        <v>Old</v>
      </c>
      <c r="D322" t="s">
        <v>5</v>
      </c>
      <c r="E322" t="s">
        <v>4</v>
      </c>
      <c r="F322" s="1">
        <v>45254</v>
      </c>
      <c r="G322" s="10">
        <v>36729.86</v>
      </c>
      <c r="H322">
        <v>4</v>
      </c>
    </row>
    <row r="323" spans="1:8" x14ac:dyDescent="0.5">
      <c r="A323" s="3">
        <v>95</v>
      </c>
      <c r="B323" s="3">
        <v>22</v>
      </c>
      <c r="C323" s="3" t="str">
        <f t="shared" si="5"/>
        <v>Young</v>
      </c>
      <c r="D323" t="s">
        <v>5</v>
      </c>
      <c r="E323" t="s">
        <v>0</v>
      </c>
      <c r="F323" s="1">
        <v>44960</v>
      </c>
      <c r="G323" s="10">
        <v>36034.36</v>
      </c>
      <c r="H323">
        <v>22</v>
      </c>
    </row>
    <row r="324" spans="1:8" x14ac:dyDescent="0.5">
      <c r="A324" s="3">
        <v>354</v>
      </c>
      <c r="B324" s="3">
        <v>97</v>
      </c>
      <c r="C324" s="3" t="str">
        <f t="shared" si="5"/>
        <v>Old</v>
      </c>
      <c r="D324" t="s">
        <v>3</v>
      </c>
      <c r="E324" t="s">
        <v>0</v>
      </c>
      <c r="F324" s="1">
        <v>45023</v>
      </c>
      <c r="G324" s="10">
        <v>27501.65</v>
      </c>
      <c r="H324">
        <v>24</v>
      </c>
    </row>
    <row r="325" spans="1:8" x14ac:dyDescent="0.5">
      <c r="A325" s="3">
        <v>407</v>
      </c>
      <c r="B325" s="3">
        <v>23</v>
      </c>
      <c r="C325" s="3" t="str">
        <f t="shared" si="5"/>
        <v>Young</v>
      </c>
      <c r="D325" t="s">
        <v>3</v>
      </c>
      <c r="E325" t="s">
        <v>4</v>
      </c>
      <c r="F325" s="1">
        <v>45075</v>
      </c>
      <c r="G325" s="10">
        <v>98148.07</v>
      </c>
      <c r="H325">
        <v>26</v>
      </c>
    </row>
    <row r="326" spans="1:8" x14ac:dyDescent="0.5">
      <c r="A326" s="3">
        <v>185</v>
      </c>
      <c r="B326" s="3">
        <v>23</v>
      </c>
      <c r="C326" s="3" t="str">
        <f t="shared" si="5"/>
        <v>Young</v>
      </c>
      <c r="D326" t="s">
        <v>3</v>
      </c>
      <c r="E326" t="s">
        <v>0</v>
      </c>
      <c r="F326" s="1">
        <v>45186</v>
      </c>
      <c r="G326" s="10">
        <v>7476.03</v>
      </c>
      <c r="H326">
        <v>22</v>
      </c>
    </row>
    <row r="327" spans="1:8" x14ac:dyDescent="0.5">
      <c r="A327" s="3">
        <v>182</v>
      </c>
      <c r="B327" s="3">
        <v>23</v>
      </c>
      <c r="C327" s="3" t="str">
        <f t="shared" si="5"/>
        <v>Young</v>
      </c>
      <c r="D327" t="s">
        <v>5</v>
      </c>
      <c r="E327" t="s">
        <v>0</v>
      </c>
      <c r="F327" s="1">
        <v>45044</v>
      </c>
      <c r="G327" s="10">
        <v>76468.95</v>
      </c>
      <c r="H327">
        <v>23</v>
      </c>
    </row>
    <row r="328" spans="1:8" x14ac:dyDescent="0.5">
      <c r="A328" s="3">
        <v>35</v>
      </c>
      <c r="B328" s="3">
        <v>23</v>
      </c>
      <c r="C328" s="3" t="str">
        <f t="shared" si="5"/>
        <v>Young</v>
      </c>
      <c r="D328" t="s">
        <v>5</v>
      </c>
      <c r="E328" t="s">
        <v>6</v>
      </c>
      <c r="F328" s="1">
        <v>44973</v>
      </c>
      <c r="G328" s="10">
        <v>60450.55</v>
      </c>
      <c r="H328">
        <v>2</v>
      </c>
    </row>
    <row r="329" spans="1:8" x14ac:dyDescent="0.5">
      <c r="A329" s="3">
        <v>269</v>
      </c>
      <c r="B329" s="3">
        <v>103</v>
      </c>
      <c r="C329" s="3" t="str">
        <f t="shared" si="5"/>
        <v>Old</v>
      </c>
      <c r="D329" t="s">
        <v>3</v>
      </c>
      <c r="E329" t="s">
        <v>6</v>
      </c>
      <c r="F329" s="1">
        <v>45291</v>
      </c>
      <c r="G329" s="10">
        <v>11158.22</v>
      </c>
      <c r="H329">
        <v>10</v>
      </c>
    </row>
    <row r="330" spans="1:8" x14ac:dyDescent="0.5">
      <c r="A330" s="3">
        <v>261</v>
      </c>
      <c r="B330" s="3">
        <v>23</v>
      </c>
      <c r="C330" s="3" t="str">
        <f t="shared" si="5"/>
        <v>Young</v>
      </c>
      <c r="D330" t="s">
        <v>5</v>
      </c>
      <c r="E330" t="s">
        <v>2</v>
      </c>
      <c r="F330" s="1">
        <v>45300</v>
      </c>
      <c r="G330" s="10">
        <v>9917.69</v>
      </c>
      <c r="H330">
        <v>29</v>
      </c>
    </row>
    <row r="331" spans="1:8" x14ac:dyDescent="0.5">
      <c r="A331" s="3">
        <v>45</v>
      </c>
      <c r="B331" s="3">
        <v>23</v>
      </c>
      <c r="C331" s="3" t="str">
        <f t="shared" si="5"/>
        <v>Young</v>
      </c>
      <c r="D331" t="s">
        <v>5</v>
      </c>
      <c r="E331" t="s">
        <v>6</v>
      </c>
      <c r="F331" s="1">
        <v>45215</v>
      </c>
      <c r="G331" s="10">
        <v>90236.5</v>
      </c>
      <c r="H331">
        <v>4</v>
      </c>
    </row>
    <row r="332" spans="1:8" x14ac:dyDescent="0.5">
      <c r="A332" s="3">
        <v>312</v>
      </c>
      <c r="B332" s="3">
        <v>38</v>
      </c>
      <c r="C332" s="3" t="str">
        <f t="shared" si="5"/>
        <v>Middle Age</v>
      </c>
      <c r="D332" t="s">
        <v>5</v>
      </c>
      <c r="E332" t="s">
        <v>4</v>
      </c>
      <c r="F332" s="1">
        <v>44930</v>
      </c>
      <c r="G332" s="10">
        <v>40053.160000000003</v>
      </c>
      <c r="H332">
        <v>19</v>
      </c>
    </row>
    <row r="333" spans="1:8" x14ac:dyDescent="0.5">
      <c r="A333" s="3">
        <v>277</v>
      </c>
      <c r="B333" s="3">
        <v>97</v>
      </c>
      <c r="C333" s="3" t="str">
        <f t="shared" si="5"/>
        <v>Old</v>
      </c>
      <c r="D333" t="s">
        <v>3</v>
      </c>
      <c r="E333" t="s">
        <v>2</v>
      </c>
      <c r="F333" s="1">
        <v>45196</v>
      </c>
      <c r="G333" s="10">
        <v>17753.169999999998</v>
      </c>
      <c r="H333">
        <v>22</v>
      </c>
    </row>
    <row r="334" spans="1:8" x14ac:dyDescent="0.5">
      <c r="A334" s="3">
        <v>434</v>
      </c>
      <c r="B334" s="3">
        <v>95</v>
      </c>
      <c r="C334" s="3" t="str">
        <f t="shared" si="5"/>
        <v>Old</v>
      </c>
      <c r="D334" t="s">
        <v>5</v>
      </c>
      <c r="E334" t="s">
        <v>1</v>
      </c>
      <c r="F334" s="1">
        <v>45039</v>
      </c>
      <c r="G334" s="10">
        <v>11412.84</v>
      </c>
      <c r="H334">
        <v>26</v>
      </c>
    </row>
    <row r="335" spans="1:8" x14ac:dyDescent="0.5">
      <c r="A335" s="3">
        <v>275</v>
      </c>
      <c r="B335" s="3">
        <v>66</v>
      </c>
      <c r="C335" s="3" t="str">
        <f t="shared" si="5"/>
        <v>Old</v>
      </c>
      <c r="D335" t="s">
        <v>3</v>
      </c>
      <c r="E335" t="s">
        <v>0</v>
      </c>
      <c r="F335" s="1">
        <v>45190</v>
      </c>
      <c r="G335" s="10">
        <v>71894.009999999995</v>
      </c>
      <c r="H335">
        <v>0</v>
      </c>
    </row>
    <row r="336" spans="1:8" x14ac:dyDescent="0.5">
      <c r="A336" s="3">
        <v>185</v>
      </c>
      <c r="B336" s="3">
        <v>55</v>
      </c>
      <c r="C336" s="3" t="str">
        <f t="shared" si="5"/>
        <v>Middle Age</v>
      </c>
      <c r="D336" t="s">
        <v>3</v>
      </c>
      <c r="E336" t="s">
        <v>1</v>
      </c>
      <c r="F336" s="1">
        <v>45172</v>
      </c>
      <c r="G336" s="10">
        <v>8529.69</v>
      </c>
      <c r="H336">
        <v>2</v>
      </c>
    </row>
    <row r="337" spans="1:8" x14ac:dyDescent="0.5">
      <c r="A337" s="3">
        <v>150</v>
      </c>
      <c r="B337" s="3">
        <v>103</v>
      </c>
      <c r="C337" s="3" t="str">
        <f t="shared" si="5"/>
        <v>Old</v>
      </c>
      <c r="D337" t="s">
        <v>3</v>
      </c>
      <c r="E337" t="s">
        <v>0</v>
      </c>
      <c r="F337" s="1">
        <v>45005</v>
      </c>
      <c r="G337" s="10">
        <v>71966.06</v>
      </c>
      <c r="H337">
        <v>19</v>
      </c>
    </row>
    <row r="338" spans="1:8" x14ac:dyDescent="0.5">
      <c r="A338" s="3">
        <v>435</v>
      </c>
      <c r="B338" s="3">
        <v>23</v>
      </c>
      <c r="C338" s="3" t="str">
        <f t="shared" si="5"/>
        <v>Young</v>
      </c>
      <c r="D338" t="s">
        <v>5</v>
      </c>
      <c r="E338" t="s">
        <v>4</v>
      </c>
      <c r="F338" s="1">
        <v>45045</v>
      </c>
      <c r="G338" s="10">
        <v>26925.42</v>
      </c>
      <c r="H338">
        <v>20</v>
      </c>
    </row>
    <row r="339" spans="1:8" x14ac:dyDescent="0.5">
      <c r="A339" s="3">
        <v>122</v>
      </c>
      <c r="B339" s="3">
        <v>87</v>
      </c>
      <c r="C339" s="3" t="str">
        <f t="shared" si="5"/>
        <v>Old</v>
      </c>
      <c r="D339" t="s">
        <v>3</v>
      </c>
      <c r="E339" t="s">
        <v>1</v>
      </c>
      <c r="F339" s="1">
        <v>45003</v>
      </c>
      <c r="G339" s="10">
        <v>20162.46</v>
      </c>
      <c r="H339">
        <v>10</v>
      </c>
    </row>
    <row r="340" spans="1:8" x14ac:dyDescent="0.5">
      <c r="A340" s="3">
        <v>407</v>
      </c>
      <c r="B340" s="3">
        <v>34</v>
      </c>
      <c r="C340" s="3" t="str">
        <f t="shared" si="5"/>
        <v>Middle Age</v>
      </c>
      <c r="D340" t="s">
        <v>5</v>
      </c>
      <c r="E340" t="s">
        <v>6</v>
      </c>
      <c r="F340" s="1">
        <v>45106</v>
      </c>
      <c r="G340" s="10">
        <v>53861.38</v>
      </c>
      <c r="H340">
        <v>14</v>
      </c>
    </row>
    <row r="341" spans="1:8" x14ac:dyDescent="0.5">
      <c r="A341" s="3">
        <v>19</v>
      </c>
      <c r="B341" s="3">
        <v>90</v>
      </c>
      <c r="C341" s="3" t="str">
        <f t="shared" si="5"/>
        <v>Old</v>
      </c>
      <c r="D341" t="s">
        <v>5</v>
      </c>
      <c r="E341" t="s">
        <v>1</v>
      </c>
      <c r="F341" s="1">
        <v>45224</v>
      </c>
      <c r="G341" s="10">
        <v>75938.25</v>
      </c>
      <c r="H341">
        <v>15</v>
      </c>
    </row>
    <row r="342" spans="1:8" x14ac:dyDescent="0.5">
      <c r="A342" s="3">
        <v>454</v>
      </c>
      <c r="B342" s="3">
        <v>54</v>
      </c>
      <c r="C342" s="3" t="str">
        <f t="shared" si="5"/>
        <v>Middle Age</v>
      </c>
      <c r="D342" t="s">
        <v>5</v>
      </c>
      <c r="E342" t="s">
        <v>0</v>
      </c>
      <c r="F342" s="1">
        <v>45099</v>
      </c>
      <c r="G342" s="10">
        <v>66901.08</v>
      </c>
      <c r="H342">
        <v>27</v>
      </c>
    </row>
    <row r="343" spans="1:8" x14ac:dyDescent="0.5">
      <c r="A343" s="3">
        <v>360</v>
      </c>
      <c r="B343" s="3">
        <v>23</v>
      </c>
      <c r="C343" s="3" t="str">
        <f t="shared" si="5"/>
        <v>Young</v>
      </c>
      <c r="D343" t="s">
        <v>3</v>
      </c>
      <c r="E343" t="s">
        <v>2</v>
      </c>
      <c r="F343" s="1">
        <v>45120</v>
      </c>
      <c r="G343" s="10">
        <v>5337.3</v>
      </c>
      <c r="H343">
        <v>24</v>
      </c>
    </row>
    <row r="344" spans="1:8" x14ac:dyDescent="0.5">
      <c r="A344" s="3">
        <v>248</v>
      </c>
      <c r="B344" s="3">
        <v>23</v>
      </c>
      <c r="C344" s="3" t="str">
        <f t="shared" si="5"/>
        <v>Young</v>
      </c>
      <c r="D344" t="s">
        <v>3</v>
      </c>
      <c r="E344" t="s">
        <v>6</v>
      </c>
      <c r="F344" s="1">
        <v>45070</v>
      </c>
      <c r="G344" s="10">
        <v>27953.81</v>
      </c>
      <c r="H344">
        <v>3</v>
      </c>
    </row>
    <row r="345" spans="1:8" x14ac:dyDescent="0.5">
      <c r="A345" s="3">
        <v>6</v>
      </c>
      <c r="B345" s="3">
        <v>25</v>
      </c>
      <c r="C345" s="3" t="str">
        <f t="shared" si="5"/>
        <v>Young</v>
      </c>
      <c r="D345" t="s">
        <v>3</v>
      </c>
      <c r="E345" t="s">
        <v>6</v>
      </c>
      <c r="F345" s="1">
        <v>45323</v>
      </c>
      <c r="G345" s="10">
        <v>14776.7</v>
      </c>
      <c r="H345">
        <v>24</v>
      </c>
    </row>
    <row r="346" spans="1:8" x14ac:dyDescent="0.5">
      <c r="A346" s="3">
        <v>134</v>
      </c>
      <c r="B346" s="3">
        <v>85</v>
      </c>
      <c r="C346" s="3" t="str">
        <f t="shared" si="5"/>
        <v>Old</v>
      </c>
      <c r="D346" t="s">
        <v>5</v>
      </c>
      <c r="E346" t="s">
        <v>1</v>
      </c>
      <c r="F346" s="1">
        <v>44975</v>
      </c>
      <c r="G346" s="10">
        <v>26858.38</v>
      </c>
      <c r="H346">
        <v>10</v>
      </c>
    </row>
    <row r="347" spans="1:8" x14ac:dyDescent="0.5">
      <c r="A347" s="3">
        <v>327</v>
      </c>
      <c r="B347" s="3">
        <v>45</v>
      </c>
      <c r="C347" s="3" t="str">
        <f t="shared" si="5"/>
        <v>Middle Age</v>
      </c>
      <c r="D347" t="s">
        <v>5</v>
      </c>
      <c r="E347" t="s">
        <v>0</v>
      </c>
      <c r="F347" s="1">
        <v>45309</v>
      </c>
      <c r="G347" s="10">
        <v>44618.87</v>
      </c>
      <c r="H347">
        <v>0</v>
      </c>
    </row>
    <row r="348" spans="1:8" x14ac:dyDescent="0.5">
      <c r="A348" s="3">
        <v>480</v>
      </c>
      <c r="B348" s="3">
        <v>23</v>
      </c>
      <c r="C348" s="3" t="str">
        <f t="shared" si="5"/>
        <v>Young</v>
      </c>
      <c r="D348" t="s">
        <v>3</v>
      </c>
      <c r="E348" t="s">
        <v>1</v>
      </c>
      <c r="F348" s="1">
        <v>45210</v>
      </c>
      <c r="G348" s="10">
        <v>9102.92</v>
      </c>
      <c r="H348">
        <v>29</v>
      </c>
    </row>
    <row r="349" spans="1:8" x14ac:dyDescent="0.5">
      <c r="A349" s="3">
        <v>158</v>
      </c>
      <c r="B349" s="3">
        <v>23</v>
      </c>
      <c r="C349" s="3" t="str">
        <f t="shared" si="5"/>
        <v>Young</v>
      </c>
      <c r="D349" t="s">
        <v>5</v>
      </c>
      <c r="E349" t="s">
        <v>6</v>
      </c>
      <c r="F349" s="1">
        <v>45170</v>
      </c>
      <c r="G349" s="10">
        <v>85601.59</v>
      </c>
      <c r="H349">
        <v>1</v>
      </c>
    </row>
    <row r="350" spans="1:8" x14ac:dyDescent="0.5">
      <c r="A350" s="3">
        <v>401</v>
      </c>
      <c r="B350" s="3">
        <v>93</v>
      </c>
      <c r="C350" s="3" t="str">
        <f t="shared" si="5"/>
        <v>Old</v>
      </c>
      <c r="D350" t="s">
        <v>3</v>
      </c>
      <c r="E350" t="s">
        <v>6</v>
      </c>
      <c r="F350" s="1">
        <v>45123</v>
      </c>
      <c r="G350" s="10">
        <v>93753.75</v>
      </c>
      <c r="H350">
        <v>0</v>
      </c>
    </row>
    <row r="351" spans="1:8" x14ac:dyDescent="0.5">
      <c r="A351" s="3">
        <v>427</v>
      </c>
      <c r="B351" s="3">
        <v>75</v>
      </c>
      <c r="C351" s="3" t="str">
        <f t="shared" si="5"/>
        <v>Old</v>
      </c>
      <c r="D351" t="s">
        <v>5</v>
      </c>
      <c r="E351" t="s">
        <v>4</v>
      </c>
      <c r="F351" s="1">
        <v>45209</v>
      </c>
      <c r="G351" s="10">
        <v>31509.95</v>
      </c>
      <c r="H351">
        <v>5</v>
      </c>
    </row>
    <row r="352" spans="1:8" x14ac:dyDescent="0.5">
      <c r="A352" s="3">
        <v>247</v>
      </c>
      <c r="B352" s="3">
        <v>82</v>
      </c>
      <c r="C352" s="3" t="str">
        <f t="shared" si="5"/>
        <v>Old</v>
      </c>
      <c r="D352" t="s">
        <v>5</v>
      </c>
      <c r="E352" t="s">
        <v>6</v>
      </c>
      <c r="F352" s="1">
        <v>45087</v>
      </c>
      <c r="G352" s="10">
        <v>98211.88</v>
      </c>
      <c r="H352">
        <v>13</v>
      </c>
    </row>
    <row r="353" spans="1:8" x14ac:dyDescent="0.5">
      <c r="A353" s="3">
        <v>431</v>
      </c>
      <c r="B353" s="3">
        <v>23</v>
      </c>
      <c r="C353" s="3" t="str">
        <f t="shared" si="5"/>
        <v>Young</v>
      </c>
      <c r="D353" t="s">
        <v>3</v>
      </c>
      <c r="E353" t="s">
        <v>4</v>
      </c>
      <c r="F353" s="1">
        <v>45125</v>
      </c>
      <c r="G353" s="10">
        <v>31715.42</v>
      </c>
      <c r="H353">
        <v>19</v>
      </c>
    </row>
    <row r="354" spans="1:8" x14ac:dyDescent="0.5">
      <c r="A354" s="3">
        <v>239</v>
      </c>
      <c r="B354" s="3">
        <v>42</v>
      </c>
      <c r="C354" s="3" t="str">
        <f t="shared" si="5"/>
        <v>Middle Age</v>
      </c>
      <c r="D354" t="s">
        <v>3</v>
      </c>
      <c r="E354" t="s">
        <v>6</v>
      </c>
      <c r="F354" s="1">
        <v>45203</v>
      </c>
      <c r="G354" s="10">
        <v>91769.279999999999</v>
      </c>
      <c r="H354">
        <v>28</v>
      </c>
    </row>
    <row r="355" spans="1:8" x14ac:dyDescent="0.5">
      <c r="A355" s="3">
        <v>103</v>
      </c>
      <c r="B355" s="3">
        <v>80</v>
      </c>
      <c r="C355" s="3" t="str">
        <f t="shared" si="5"/>
        <v>Old</v>
      </c>
      <c r="D355" t="s">
        <v>5</v>
      </c>
      <c r="E355" t="s">
        <v>2</v>
      </c>
      <c r="F355" s="1">
        <v>45175</v>
      </c>
      <c r="G355" s="10">
        <v>29852.77</v>
      </c>
      <c r="H355">
        <v>4</v>
      </c>
    </row>
    <row r="356" spans="1:8" x14ac:dyDescent="0.5">
      <c r="A356" s="3">
        <v>206</v>
      </c>
      <c r="B356" s="3">
        <v>53</v>
      </c>
      <c r="C356" s="3" t="str">
        <f t="shared" si="5"/>
        <v>Middle Age</v>
      </c>
      <c r="D356" t="s">
        <v>5</v>
      </c>
      <c r="E356" t="s">
        <v>0</v>
      </c>
      <c r="F356" s="1">
        <v>45131</v>
      </c>
      <c r="G356" s="10">
        <v>74232.95</v>
      </c>
      <c r="H356">
        <v>11</v>
      </c>
    </row>
    <row r="357" spans="1:8" x14ac:dyDescent="0.5">
      <c r="A357" s="3">
        <v>451</v>
      </c>
      <c r="B357" s="3">
        <v>44</v>
      </c>
      <c r="C357" s="3" t="str">
        <f t="shared" si="5"/>
        <v>Middle Age</v>
      </c>
      <c r="D357" t="s">
        <v>5</v>
      </c>
      <c r="E357" t="s">
        <v>2</v>
      </c>
      <c r="F357" s="1">
        <v>45137</v>
      </c>
      <c r="G357" s="10">
        <v>68585.67</v>
      </c>
      <c r="H357">
        <v>17</v>
      </c>
    </row>
    <row r="358" spans="1:8" x14ac:dyDescent="0.5">
      <c r="A358" s="3">
        <v>397</v>
      </c>
      <c r="B358" s="3">
        <v>87</v>
      </c>
      <c r="C358" s="3" t="str">
        <f t="shared" si="5"/>
        <v>Old</v>
      </c>
      <c r="D358" t="s">
        <v>5</v>
      </c>
      <c r="E358" t="s">
        <v>6</v>
      </c>
      <c r="F358" s="1">
        <v>45039</v>
      </c>
      <c r="G358" s="10">
        <v>71258.84</v>
      </c>
      <c r="H358">
        <v>26</v>
      </c>
    </row>
    <row r="359" spans="1:8" x14ac:dyDescent="0.5">
      <c r="A359" s="3">
        <v>311</v>
      </c>
      <c r="B359" s="3">
        <v>90</v>
      </c>
      <c r="C359" s="3" t="str">
        <f t="shared" si="5"/>
        <v>Old</v>
      </c>
      <c r="D359" t="s">
        <v>5</v>
      </c>
      <c r="E359" t="s">
        <v>6</v>
      </c>
      <c r="F359" s="1">
        <v>44963</v>
      </c>
      <c r="G359" s="10">
        <v>76975.990000000005</v>
      </c>
      <c r="H359">
        <v>26</v>
      </c>
    </row>
    <row r="360" spans="1:8" x14ac:dyDescent="0.5">
      <c r="A360" s="3">
        <v>89</v>
      </c>
      <c r="B360" s="3">
        <v>23</v>
      </c>
      <c r="C360" s="3" t="str">
        <f t="shared" si="5"/>
        <v>Young</v>
      </c>
      <c r="D360" t="s">
        <v>3</v>
      </c>
      <c r="E360" t="s">
        <v>4</v>
      </c>
      <c r="F360" s="1">
        <v>45025</v>
      </c>
      <c r="G360" s="10">
        <v>53048.05</v>
      </c>
      <c r="H360">
        <v>7</v>
      </c>
    </row>
    <row r="361" spans="1:8" x14ac:dyDescent="0.5">
      <c r="A361" s="3">
        <v>92</v>
      </c>
      <c r="B361" s="3">
        <v>44</v>
      </c>
      <c r="C361" s="3" t="str">
        <f t="shared" si="5"/>
        <v>Middle Age</v>
      </c>
      <c r="D361" t="s">
        <v>5</v>
      </c>
      <c r="E361" t="s">
        <v>6</v>
      </c>
      <c r="F361" s="1">
        <v>44934</v>
      </c>
      <c r="G361" s="10">
        <v>61547.360000000001</v>
      </c>
      <c r="H361">
        <v>2</v>
      </c>
    </row>
    <row r="362" spans="1:8" x14ac:dyDescent="0.5">
      <c r="A362" s="3">
        <v>440</v>
      </c>
      <c r="B362" s="3">
        <v>23</v>
      </c>
      <c r="C362" s="3" t="str">
        <f t="shared" si="5"/>
        <v>Young</v>
      </c>
      <c r="D362" t="s">
        <v>3</v>
      </c>
      <c r="E362" t="s">
        <v>4</v>
      </c>
      <c r="F362" s="1">
        <v>45095</v>
      </c>
      <c r="G362" s="10">
        <v>9140.02</v>
      </c>
      <c r="H362">
        <v>28</v>
      </c>
    </row>
    <row r="363" spans="1:8" x14ac:dyDescent="0.5">
      <c r="A363" s="3">
        <v>17</v>
      </c>
      <c r="B363" s="3">
        <v>90</v>
      </c>
      <c r="C363" s="3" t="str">
        <f t="shared" si="5"/>
        <v>Old</v>
      </c>
      <c r="D363" t="s">
        <v>5</v>
      </c>
      <c r="E363" t="s">
        <v>2</v>
      </c>
      <c r="F363" s="1">
        <v>45111</v>
      </c>
      <c r="G363" s="10">
        <v>7411.59</v>
      </c>
      <c r="H363">
        <v>15</v>
      </c>
    </row>
    <row r="364" spans="1:8" x14ac:dyDescent="0.5">
      <c r="A364" s="3">
        <v>495</v>
      </c>
      <c r="B364" s="3">
        <v>36</v>
      </c>
      <c r="C364" s="3" t="str">
        <f t="shared" si="5"/>
        <v>Middle Age</v>
      </c>
      <c r="D364" t="s">
        <v>3</v>
      </c>
      <c r="E364" t="s">
        <v>1</v>
      </c>
      <c r="F364" s="1">
        <v>44961</v>
      </c>
      <c r="G364" s="10">
        <v>41139.370000000003</v>
      </c>
      <c r="H364">
        <v>4</v>
      </c>
    </row>
    <row r="365" spans="1:8" x14ac:dyDescent="0.5">
      <c r="A365" s="3">
        <v>381</v>
      </c>
      <c r="B365" s="3">
        <v>40</v>
      </c>
      <c r="C365" s="3" t="str">
        <f t="shared" si="5"/>
        <v>Middle Age</v>
      </c>
      <c r="D365" t="s">
        <v>5</v>
      </c>
      <c r="E365" t="s">
        <v>1</v>
      </c>
      <c r="F365" s="1">
        <v>45056</v>
      </c>
      <c r="G365" s="10">
        <v>94814.86</v>
      </c>
      <c r="H365">
        <v>0</v>
      </c>
    </row>
    <row r="366" spans="1:8" x14ac:dyDescent="0.5">
      <c r="A366" s="3">
        <v>134</v>
      </c>
      <c r="B366" s="3">
        <v>23</v>
      </c>
      <c r="C366" s="3" t="str">
        <f t="shared" si="5"/>
        <v>Young</v>
      </c>
      <c r="D366" t="s">
        <v>3</v>
      </c>
      <c r="E366" t="s">
        <v>6</v>
      </c>
      <c r="F366" s="1">
        <v>45176</v>
      </c>
      <c r="G366" s="10">
        <v>27181.599999999999</v>
      </c>
      <c r="H366">
        <v>11</v>
      </c>
    </row>
    <row r="367" spans="1:8" x14ac:dyDescent="0.5">
      <c r="A367" s="3">
        <v>105</v>
      </c>
      <c r="B367" s="3">
        <v>46</v>
      </c>
      <c r="C367" s="3" t="str">
        <f t="shared" si="5"/>
        <v>Middle Age</v>
      </c>
      <c r="D367" t="s">
        <v>5</v>
      </c>
      <c r="E367" t="s">
        <v>1</v>
      </c>
      <c r="F367" s="1">
        <v>45289</v>
      </c>
      <c r="G367" s="10">
        <v>20232.36</v>
      </c>
      <c r="H367">
        <v>28</v>
      </c>
    </row>
    <row r="368" spans="1:8" x14ac:dyDescent="0.5">
      <c r="A368" s="3">
        <v>94</v>
      </c>
      <c r="B368" s="3">
        <v>23</v>
      </c>
      <c r="C368" s="3" t="str">
        <f t="shared" si="5"/>
        <v>Young</v>
      </c>
      <c r="D368" t="s">
        <v>3</v>
      </c>
      <c r="E368" t="s">
        <v>1</v>
      </c>
      <c r="F368" s="1">
        <v>45264</v>
      </c>
      <c r="G368" s="10">
        <v>92863.87</v>
      </c>
      <c r="H368">
        <v>12</v>
      </c>
    </row>
    <row r="369" spans="1:8" x14ac:dyDescent="0.5">
      <c r="A369" s="3">
        <v>74</v>
      </c>
      <c r="B369" s="3">
        <v>91</v>
      </c>
      <c r="C369" s="3" t="str">
        <f t="shared" si="5"/>
        <v>Old</v>
      </c>
      <c r="D369" t="s">
        <v>3</v>
      </c>
      <c r="E369" t="s">
        <v>6</v>
      </c>
      <c r="F369" s="1">
        <v>45103</v>
      </c>
      <c r="G369" s="10">
        <v>813</v>
      </c>
      <c r="H369">
        <v>2</v>
      </c>
    </row>
    <row r="370" spans="1:8" x14ac:dyDescent="0.5">
      <c r="A370" s="3">
        <v>429</v>
      </c>
      <c r="B370" s="3">
        <v>29</v>
      </c>
      <c r="C370" s="3" t="str">
        <f t="shared" si="5"/>
        <v>Young</v>
      </c>
      <c r="D370" t="s">
        <v>5</v>
      </c>
      <c r="E370" t="s">
        <v>2</v>
      </c>
      <c r="F370" s="1">
        <v>45026</v>
      </c>
      <c r="G370" s="10">
        <v>58052.71</v>
      </c>
      <c r="H370">
        <v>26</v>
      </c>
    </row>
    <row r="371" spans="1:8" x14ac:dyDescent="0.5">
      <c r="A371" s="3">
        <v>296</v>
      </c>
      <c r="B371" s="3">
        <v>90</v>
      </c>
      <c r="C371" s="3" t="str">
        <f t="shared" si="5"/>
        <v>Old</v>
      </c>
      <c r="D371" t="s">
        <v>5</v>
      </c>
      <c r="E371" t="s">
        <v>4</v>
      </c>
      <c r="F371" s="1">
        <v>45232</v>
      </c>
      <c r="G371" s="10">
        <v>24660.33</v>
      </c>
      <c r="H371">
        <v>5</v>
      </c>
    </row>
    <row r="372" spans="1:8" x14ac:dyDescent="0.5">
      <c r="A372" s="3">
        <v>207</v>
      </c>
      <c r="B372" s="3">
        <v>98</v>
      </c>
      <c r="C372" s="3" t="str">
        <f t="shared" si="5"/>
        <v>Old</v>
      </c>
      <c r="D372" t="s">
        <v>5</v>
      </c>
      <c r="E372" t="s">
        <v>1</v>
      </c>
      <c r="F372" s="1">
        <v>45014</v>
      </c>
      <c r="G372" s="10">
        <v>85676.88</v>
      </c>
      <c r="H372">
        <v>20</v>
      </c>
    </row>
    <row r="373" spans="1:8" x14ac:dyDescent="0.5">
      <c r="A373" s="3">
        <v>455</v>
      </c>
      <c r="B373" s="3">
        <v>45</v>
      </c>
      <c r="C373" s="3" t="str">
        <f t="shared" si="5"/>
        <v>Middle Age</v>
      </c>
      <c r="D373" t="s">
        <v>5</v>
      </c>
      <c r="E373" t="s">
        <v>2</v>
      </c>
      <c r="F373" s="1">
        <v>44949</v>
      </c>
      <c r="G373" s="10">
        <v>19260.12</v>
      </c>
      <c r="H373">
        <v>1</v>
      </c>
    </row>
    <row r="374" spans="1:8" x14ac:dyDescent="0.5">
      <c r="A374" s="3">
        <v>191</v>
      </c>
      <c r="B374" s="3">
        <v>104</v>
      </c>
      <c r="C374" s="3" t="str">
        <f t="shared" si="5"/>
        <v>Old</v>
      </c>
      <c r="D374" t="s">
        <v>5</v>
      </c>
      <c r="E374" t="s">
        <v>0</v>
      </c>
      <c r="F374" s="1">
        <v>45121</v>
      </c>
      <c r="G374" s="10">
        <v>86587.71</v>
      </c>
      <c r="H374">
        <v>3</v>
      </c>
    </row>
    <row r="375" spans="1:8" x14ac:dyDescent="0.5">
      <c r="A375" s="3">
        <v>387</v>
      </c>
      <c r="B375" s="3">
        <v>94</v>
      </c>
      <c r="C375" s="3" t="str">
        <f t="shared" si="5"/>
        <v>Old</v>
      </c>
      <c r="D375" t="s">
        <v>5</v>
      </c>
      <c r="E375" t="s">
        <v>0</v>
      </c>
      <c r="F375" s="1">
        <v>45308</v>
      </c>
      <c r="G375" s="10">
        <v>73013.61</v>
      </c>
      <c r="H375">
        <v>0</v>
      </c>
    </row>
    <row r="376" spans="1:8" x14ac:dyDescent="0.5">
      <c r="A376" s="3">
        <v>38</v>
      </c>
      <c r="B376" s="3">
        <v>23</v>
      </c>
      <c r="C376" s="3" t="str">
        <f t="shared" si="5"/>
        <v>Young</v>
      </c>
      <c r="D376" t="s">
        <v>3</v>
      </c>
      <c r="E376" t="s">
        <v>4</v>
      </c>
      <c r="F376" s="1">
        <v>44964</v>
      </c>
      <c r="G376" s="10">
        <v>42298.44</v>
      </c>
      <c r="H376">
        <v>18</v>
      </c>
    </row>
    <row r="377" spans="1:8" x14ac:dyDescent="0.5">
      <c r="A377" s="3">
        <v>343</v>
      </c>
      <c r="B377" s="3">
        <v>73</v>
      </c>
      <c r="C377" s="3" t="str">
        <f t="shared" si="5"/>
        <v>Old</v>
      </c>
      <c r="D377" t="s">
        <v>3</v>
      </c>
      <c r="E377" t="s">
        <v>1</v>
      </c>
      <c r="F377" s="1">
        <v>44938</v>
      </c>
      <c r="G377" s="10">
        <v>5294.68</v>
      </c>
      <c r="H377">
        <v>18</v>
      </c>
    </row>
    <row r="378" spans="1:8" x14ac:dyDescent="0.5">
      <c r="A378" s="3">
        <v>242</v>
      </c>
      <c r="B378" s="3">
        <v>23</v>
      </c>
      <c r="C378" s="3" t="str">
        <f t="shared" si="5"/>
        <v>Young</v>
      </c>
      <c r="D378" t="s">
        <v>5</v>
      </c>
      <c r="E378" t="s">
        <v>4</v>
      </c>
      <c r="F378" s="1">
        <v>45221</v>
      </c>
      <c r="G378" s="10">
        <v>5379.76</v>
      </c>
      <c r="H378">
        <v>6</v>
      </c>
    </row>
    <row r="379" spans="1:8" x14ac:dyDescent="0.5">
      <c r="A379" s="3">
        <v>303</v>
      </c>
      <c r="B379" s="3">
        <v>63</v>
      </c>
      <c r="C379" s="3" t="str">
        <f t="shared" si="5"/>
        <v>Old</v>
      </c>
      <c r="D379" t="s">
        <v>3</v>
      </c>
      <c r="E379" t="s">
        <v>6</v>
      </c>
      <c r="F379" s="1">
        <v>45247</v>
      </c>
      <c r="G379" s="10">
        <v>41317.910000000003</v>
      </c>
      <c r="H379">
        <v>4</v>
      </c>
    </row>
    <row r="380" spans="1:8" x14ac:dyDescent="0.5">
      <c r="A380" s="3">
        <v>164</v>
      </c>
      <c r="B380" s="3">
        <v>36</v>
      </c>
      <c r="C380" s="3" t="str">
        <f t="shared" si="5"/>
        <v>Middle Age</v>
      </c>
      <c r="D380" t="s">
        <v>5</v>
      </c>
      <c r="E380" t="s">
        <v>6</v>
      </c>
      <c r="F380" s="1">
        <v>45274</v>
      </c>
      <c r="G380" s="10">
        <v>49335.99</v>
      </c>
      <c r="H380">
        <v>27</v>
      </c>
    </row>
    <row r="381" spans="1:8" x14ac:dyDescent="0.5">
      <c r="A381" s="3">
        <v>16</v>
      </c>
      <c r="B381" s="3">
        <v>51</v>
      </c>
      <c r="C381" s="3" t="str">
        <f t="shared" si="5"/>
        <v>Middle Age</v>
      </c>
      <c r="D381" t="s">
        <v>3</v>
      </c>
      <c r="E381" t="s">
        <v>2</v>
      </c>
      <c r="F381" s="1">
        <v>45075</v>
      </c>
      <c r="G381" s="10">
        <v>36286.129999999997</v>
      </c>
      <c r="H381">
        <v>5</v>
      </c>
    </row>
    <row r="382" spans="1:8" x14ac:dyDescent="0.5">
      <c r="A382" s="3">
        <v>405</v>
      </c>
      <c r="B382" s="3">
        <v>23</v>
      </c>
      <c r="C382" s="3" t="str">
        <f t="shared" si="5"/>
        <v>Young</v>
      </c>
      <c r="D382" t="s">
        <v>5</v>
      </c>
      <c r="E382" t="s">
        <v>2</v>
      </c>
      <c r="F382" s="1">
        <v>45257</v>
      </c>
      <c r="G382" s="10">
        <v>19097.21</v>
      </c>
      <c r="H382">
        <v>0</v>
      </c>
    </row>
    <row r="383" spans="1:8" x14ac:dyDescent="0.5">
      <c r="A383" s="3">
        <v>161</v>
      </c>
      <c r="B383" s="3">
        <v>23</v>
      </c>
      <c r="C383" s="3" t="str">
        <f t="shared" si="5"/>
        <v>Young</v>
      </c>
      <c r="D383" t="s">
        <v>5</v>
      </c>
      <c r="E383" t="s">
        <v>4</v>
      </c>
      <c r="F383" s="1">
        <v>45118</v>
      </c>
      <c r="G383" s="10">
        <v>351.85</v>
      </c>
      <c r="H383">
        <v>2</v>
      </c>
    </row>
    <row r="384" spans="1:8" x14ac:dyDescent="0.5">
      <c r="A384" s="3">
        <v>356</v>
      </c>
      <c r="B384" s="3">
        <v>61</v>
      </c>
      <c r="C384" s="3" t="str">
        <f t="shared" si="5"/>
        <v>Old</v>
      </c>
      <c r="D384" t="s">
        <v>3</v>
      </c>
      <c r="E384" t="s">
        <v>1</v>
      </c>
      <c r="F384" s="1">
        <v>45029</v>
      </c>
      <c r="G384" s="10">
        <v>36886.5</v>
      </c>
      <c r="H384">
        <v>2</v>
      </c>
    </row>
    <row r="385" spans="1:8" x14ac:dyDescent="0.5">
      <c r="A385" s="3">
        <v>406</v>
      </c>
      <c r="B385" s="3">
        <v>76</v>
      </c>
      <c r="C385" s="3" t="str">
        <f t="shared" si="5"/>
        <v>Old</v>
      </c>
      <c r="D385" t="s">
        <v>3</v>
      </c>
      <c r="E385" t="s">
        <v>4</v>
      </c>
      <c r="F385" s="1">
        <v>44952</v>
      </c>
      <c r="G385" s="10">
        <v>86832.02</v>
      </c>
      <c r="H385">
        <v>8</v>
      </c>
    </row>
    <row r="386" spans="1:8" x14ac:dyDescent="0.5">
      <c r="A386" s="3">
        <v>199</v>
      </c>
      <c r="B386" s="3">
        <v>87</v>
      </c>
      <c r="C386" s="3" t="str">
        <f t="shared" ref="C386:C449" si="6">IF(B386&lt;=30,"Young", IF(B386&lt;=55,"Middle Age",IF(B386&gt;55,"Old","Not found")))</f>
        <v>Old</v>
      </c>
      <c r="D386" t="s">
        <v>3</v>
      </c>
      <c r="E386" t="s">
        <v>0</v>
      </c>
      <c r="F386" s="1">
        <v>45208</v>
      </c>
      <c r="G386" s="10">
        <v>26478.46</v>
      </c>
      <c r="H386">
        <v>20</v>
      </c>
    </row>
    <row r="387" spans="1:8" x14ac:dyDescent="0.5">
      <c r="A387" s="3">
        <v>469</v>
      </c>
      <c r="B387" s="3">
        <v>87</v>
      </c>
      <c r="C387" s="3" t="str">
        <f t="shared" si="6"/>
        <v>Old</v>
      </c>
      <c r="D387" t="s">
        <v>5</v>
      </c>
      <c r="E387" t="s">
        <v>6</v>
      </c>
      <c r="F387" s="1">
        <v>45129</v>
      </c>
      <c r="G387" s="10">
        <v>92023.3</v>
      </c>
      <c r="H387">
        <v>11</v>
      </c>
    </row>
    <row r="388" spans="1:8" x14ac:dyDescent="0.5">
      <c r="A388" s="3">
        <v>385</v>
      </c>
      <c r="B388" s="3">
        <v>76</v>
      </c>
      <c r="C388" s="3" t="str">
        <f t="shared" si="6"/>
        <v>Old</v>
      </c>
      <c r="D388" t="s">
        <v>5</v>
      </c>
      <c r="E388" t="s">
        <v>2</v>
      </c>
      <c r="F388" s="1">
        <v>45214</v>
      </c>
      <c r="G388" s="10">
        <v>88078.29</v>
      </c>
      <c r="H388">
        <v>17</v>
      </c>
    </row>
    <row r="389" spans="1:8" x14ac:dyDescent="0.5">
      <c r="A389" s="3">
        <v>213</v>
      </c>
      <c r="B389" s="3">
        <v>21</v>
      </c>
      <c r="C389" s="3" t="str">
        <f t="shared" si="6"/>
        <v>Young</v>
      </c>
      <c r="D389" t="s">
        <v>3</v>
      </c>
      <c r="E389" t="s">
        <v>6</v>
      </c>
      <c r="F389" s="1">
        <v>45061</v>
      </c>
      <c r="G389" s="10">
        <v>71099.649999999994</v>
      </c>
      <c r="H389">
        <v>29</v>
      </c>
    </row>
    <row r="390" spans="1:8" x14ac:dyDescent="0.5">
      <c r="A390" s="3">
        <v>34</v>
      </c>
      <c r="B390" s="3">
        <v>23</v>
      </c>
      <c r="C390" s="3" t="str">
        <f t="shared" si="6"/>
        <v>Young</v>
      </c>
      <c r="D390" t="s">
        <v>5</v>
      </c>
      <c r="E390" t="s">
        <v>0</v>
      </c>
      <c r="F390" s="1">
        <v>45174</v>
      </c>
      <c r="G390" s="10">
        <v>42109.59</v>
      </c>
      <c r="H390">
        <v>12</v>
      </c>
    </row>
    <row r="391" spans="1:8" x14ac:dyDescent="0.5">
      <c r="A391" s="3">
        <v>22</v>
      </c>
      <c r="B391" s="3">
        <v>21</v>
      </c>
      <c r="C391" s="3" t="str">
        <f t="shared" si="6"/>
        <v>Young</v>
      </c>
      <c r="D391" t="s">
        <v>3</v>
      </c>
      <c r="E391" t="s">
        <v>2</v>
      </c>
      <c r="F391" s="1">
        <v>45103</v>
      </c>
      <c r="G391" s="10">
        <v>59091.69</v>
      </c>
      <c r="H391">
        <v>1</v>
      </c>
    </row>
    <row r="392" spans="1:8" x14ac:dyDescent="0.5">
      <c r="A392" s="3">
        <v>323</v>
      </c>
      <c r="B392" s="3">
        <v>77</v>
      </c>
      <c r="C392" s="3" t="str">
        <f t="shared" si="6"/>
        <v>Old</v>
      </c>
      <c r="D392" t="s">
        <v>3</v>
      </c>
      <c r="E392" t="s">
        <v>1</v>
      </c>
      <c r="F392" s="1">
        <v>44963</v>
      </c>
      <c r="G392" s="10">
        <v>41698.980000000003</v>
      </c>
      <c r="H392">
        <v>20</v>
      </c>
    </row>
    <row r="393" spans="1:8" x14ac:dyDescent="0.5">
      <c r="A393" s="3">
        <v>268</v>
      </c>
      <c r="B393" s="3">
        <v>98</v>
      </c>
      <c r="C393" s="3" t="str">
        <f t="shared" si="6"/>
        <v>Old</v>
      </c>
      <c r="D393" t="s">
        <v>5</v>
      </c>
      <c r="E393" t="s">
        <v>0</v>
      </c>
      <c r="F393" s="1">
        <v>45212</v>
      </c>
      <c r="G393" s="10">
        <v>27785.119999999999</v>
      </c>
      <c r="H393">
        <v>23</v>
      </c>
    </row>
    <row r="394" spans="1:8" x14ac:dyDescent="0.5">
      <c r="A394" s="3">
        <v>304</v>
      </c>
      <c r="B394" s="3">
        <v>61</v>
      </c>
      <c r="C394" s="3" t="str">
        <f t="shared" si="6"/>
        <v>Old</v>
      </c>
      <c r="D394" t="s">
        <v>3</v>
      </c>
      <c r="E394" t="s">
        <v>1</v>
      </c>
      <c r="F394" s="1">
        <v>44973</v>
      </c>
      <c r="G394" s="10">
        <v>31444.68</v>
      </c>
      <c r="H394">
        <v>3</v>
      </c>
    </row>
    <row r="395" spans="1:8" x14ac:dyDescent="0.5">
      <c r="A395" s="3">
        <v>140</v>
      </c>
      <c r="B395" s="3">
        <v>102</v>
      </c>
      <c r="C395" s="3" t="str">
        <f t="shared" si="6"/>
        <v>Old</v>
      </c>
      <c r="D395" t="s">
        <v>3</v>
      </c>
      <c r="E395" t="s">
        <v>1</v>
      </c>
      <c r="F395" s="1">
        <v>45186</v>
      </c>
      <c r="G395" s="10">
        <v>24292.97</v>
      </c>
      <c r="H395">
        <v>28</v>
      </c>
    </row>
    <row r="396" spans="1:8" x14ac:dyDescent="0.5">
      <c r="A396" s="3">
        <v>37</v>
      </c>
      <c r="B396" s="3">
        <v>23</v>
      </c>
      <c r="C396" s="3" t="str">
        <f t="shared" si="6"/>
        <v>Young</v>
      </c>
      <c r="D396" t="s">
        <v>5</v>
      </c>
      <c r="E396" t="s">
        <v>1</v>
      </c>
      <c r="F396" s="1">
        <v>45000</v>
      </c>
      <c r="G396" s="10">
        <v>19450.73</v>
      </c>
      <c r="H396">
        <v>10</v>
      </c>
    </row>
    <row r="397" spans="1:8" x14ac:dyDescent="0.5">
      <c r="A397" s="3">
        <v>457</v>
      </c>
      <c r="B397" s="3">
        <v>49</v>
      </c>
      <c r="C397" s="3" t="str">
        <f t="shared" si="6"/>
        <v>Middle Age</v>
      </c>
      <c r="D397" t="s">
        <v>5</v>
      </c>
      <c r="E397" t="s">
        <v>2</v>
      </c>
      <c r="F397" s="1">
        <v>45172</v>
      </c>
      <c r="G397" s="10">
        <v>10652.92</v>
      </c>
      <c r="H397">
        <v>3</v>
      </c>
    </row>
    <row r="398" spans="1:8" x14ac:dyDescent="0.5">
      <c r="A398" s="3">
        <v>172</v>
      </c>
      <c r="B398" s="3">
        <v>45</v>
      </c>
      <c r="C398" s="3" t="str">
        <f t="shared" si="6"/>
        <v>Middle Age</v>
      </c>
      <c r="D398" t="s">
        <v>5</v>
      </c>
      <c r="E398" t="s">
        <v>2</v>
      </c>
      <c r="F398" s="1">
        <v>45207</v>
      </c>
      <c r="G398" s="10">
        <v>85615.41</v>
      </c>
      <c r="H398">
        <v>14</v>
      </c>
    </row>
    <row r="399" spans="1:8" x14ac:dyDescent="0.5">
      <c r="A399" s="3">
        <v>254</v>
      </c>
      <c r="B399" s="3">
        <v>55</v>
      </c>
      <c r="C399" s="3" t="str">
        <f t="shared" si="6"/>
        <v>Middle Age</v>
      </c>
      <c r="D399" t="s">
        <v>3</v>
      </c>
      <c r="E399" t="s">
        <v>4</v>
      </c>
      <c r="F399" s="1">
        <v>45102</v>
      </c>
      <c r="G399" s="10">
        <v>70223.649999999994</v>
      </c>
      <c r="H399">
        <v>25</v>
      </c>
    </row>
    <row r="400" spans="1:8" x14ac:dyDescent="0.5">
      <c r="A400" s="3">
        <v>200</v>
      </c>
      <c r="B400" s="3">
        <v>23</v>
      </c>
      <c r="C400" s="3" t="str">
        <f t="shared" si="6"/>
        <v>Young</v>
      </c>
      <c r="D400" t="s">
        <v>5</v>
      </c>
      <c r="E400" t="s">
        <v>4</v>
      </c>
      <c r="F400" s="1">
        <v>45026</v>
      </c>
      <c r="G400" s="10">
        <v>94763.26</v>
      </c>
      <c r="H400">
        <v>2</v>
      </c>
    </row>
    <row r="401" spans="1:8" x14ac:dyDescent="0.5">
      <c r="A401" s="3">
        <v>310</v>
      </c>
      <c r="B401" s="3">
        <v>102</v>
      </c>
      <c r="C401" s="3" t="str">
        <f t="shared" si="6"/>
        <v>Old</v>
      </c>
      <c r="D401" t="s">
        <v>3</v>
      </c>
      <c r="E401" t="s">
        <v>1</v>
      </c>
      <c r="F401" s="1">
        <v>45045</v>
      </c>
      <c r="G401" s="10">
        <v>4524.79</v>
      </c>
      <c r="H401">
        <v>3</v>
      </c>
    </row>
    <row r="402" spans="1:8" x14ac:dyDescent="0.5">
      <c r="A402" s="3">
        <v>264</v>
      </c>
      <c r="B402" s="3">
        <v>49</v>
      </c>
      <c r="C402" s="3" t="str">
        <f t="shared" si="6"/>
        <v>Middle Age</v>
      </c>
      <c r="D402" t="s">
        <v>5</v>
      </c>
      <c r="E402" t="s">
        <v>1</v>
      </c>
      <c r="F402" s="1">
        <v>44943</v>
      </c>
      <c r="G402" s="10">
        <v>68797.070000000007</v>
      </c>
      <c r="H402">
        <v>24</v>
      </c>
    </row>
    <row r="403" spans="1:8" x14ac:dyDescent="0.5">
      <c r="A403" s="3">
        <v>406</v>
      </c>
      <c r="B403" s="3">
        <v>23</v>
      </c>
      <c r="C403" s="3" t="str">
        <f t="shared" si="6"/>
        <v>Young</v>
      </c>
      <c r="D403" t="s">
        <v>3</v>
      </c>
      <c r="E403" t="s">
        <v>0</v>
      </c>
      <c r="F403" s="1">
        <v>45098</v>
      </c>
      <c r="G403" s="10">
        <v>32275.919999999998</v>
      </c>
      <c r="H403">
        <v>21</v>
      </c>
    </row>
    <row r="404" spans="1:8" x14ac:dyDescent="0.5">
      <c r="A404" s="3">
        <v>127</v>
      </c>
      <c r="B404" s="3">
        <v>83</v>
      </c>
      <c r="C404" s="3" t="str">
        <f t="shared" si="6"/>
        <v>Old</v>
      </c>
      <c r="D404" t="s">
        <v>3</v>
      </c>
      <c r="E404" t="s">
        <v>1</v>
      </c>
      <c r="F404" s="1">
        <v>45253</v>
      </c>
      <c r="G404" s="10">
        <v>44933.77</v>
      </c>
      <c r="H404">
        <v>28</v>
      </c>
    </row>
    <row r="405" spans="1:8" x14ac:dyDescent="0.5">
      <c r="A405" s="3">
        <v>276</v>
      </c>
      <c r="B405" s="3">
        <v>77</v>
      </c>
      <c r="C405" s="3" t="str">
        <f t="shared" si="6"/>
        <v>Old</v>
      </c>
      <c r="D405" t="s">
        <v>5</v>
      </c>
      <c r="E405" t="s">
        <v>0</v>
      </c>
      <c r="F405" s="1">
        <v>44977</v>
      </c>
      <c r="G405" s="10">
        <v>99134.74</v>
      </c>
      <c r="H405">
        <v>18</v>
      </c>
    </row>
    <row r="406" spans="1:8" x14ac:dyDescent="0.5">
      <c r="A406" s="3">
        <v>343</v>
      </c>
      <c r="B406" s="3">
        <v>103</v>
      </c>
      <c r="C406" s="3" t="str">
        <f t="shared" si="6"/>
        <v>Old</v>
      </c>
      <c r="D406" t="s">
        <v>3</v>
      </c>
      <c r="E406" t="s">
        <v>4</v>
      </c>
      <c r="F406" s="1">
        <v>45152</v>
      </c>
      <c r="G406" s="10">
        <v>91449.27</v>
      </c>
      <c r="H406">
        <v>4</v>
      </c>
    </row>
    <row r="407" spans="1:8" x14ac:dyDescent="0.5">
      <c r="A407" s="3">
        <v>302</v>
      </c>
      <c r="B407" s="3">
        <v>23</v>
      </c>
      <c r="C407" s="3" t="str">
        <f t="shared" si="6"/>
        <v>Young</v>
      </c>
      <c r="D407" t="s">
        <v>5</v>
      </c>
      <c r="E407" t="s">
        <v>2</v>
      </c>
      <c r="F407" s="1">
        <v>45166</v>
      </c>
      <c r="G407" s="10">
        <v>994.1</v>
      </c>
      <c r="H407">
        <v>5</v>
      </c>
    </row>
    <row r="408" spans="1:8" x14ac:dyDescent="0.5">
      <c r="A408" s="3">
        <v>435</v>
      </c>
      <c r="B408" s="3">
        <v>57</v>
      </c>
      <c r="C408" s="3" t="str">
        <f t="shared" si="6"/>
        <v>Old</v>
      </c>
      <c r="D408" t="s">
        <v>3</v>
      </c>
      <c r="E408" t="s">
        <v>4</v>
      </c>
      <c r="F408" s="1">
        <v>45313</v>
      </c>
      <c r="G408" s="10">
        <v>76088.509999999995</v>
      </c>
      <c r="H408">
        <v>1</v>
      </c>
    </row>
    <row r="409" spans="1:8" x14ac:dyDescent="0.5">
      <c r="A409" s="3">
        <v>228</v>
      </c>
      <c r="B409" s="3">
        <v>1</v>
      </c>
      <c r="C409" s="3" t="str">
        <f t="shared" si="6"/>
        <v>Young</v>
      </c>
      <c r="D409" t="s">
        <v>5</v>
      </c>
      <c r="E409" t="s">
        <v>0</v>
      </c>
      <c r="F409" s="1">
        <v>45287</v>
      </c>
      <c r="G409" s="10">
        <v>35952.01</v>
      </c>
      <c r="H409">
        <v>1</v>
      </c>
    </row>
    <row r="410" spans="1:8" x14ac:dyDescent="0.5">
      <c r="A410" s="3">
        <v>383</v>
      </c>
      <c r="B410" s="3">
        <v>90</v>
      </c>
      <c r="C410" s="3" t="str">
        <f t="shared" si="6"/>
        <v>Old</v>
      </c>
      <c r="D410" t="s">
        <v>3</v>
      </c>
      <c r="E410" t="s">
        <v>1</v>
      </c>
      <c r="F410" s="1">
        <v>45201</v>
      </c>
      <c r="G410" s="10">
        <v>65127.16</v>
      </c>
      <c r="H410">
        <v>28</v>
      </c>
    </row>
    <row r="411" spans="1:8" x14ac:dyDescent="0.5">
      <c r="A411" s="3">
        <v>338</v>
      </c>
      <c r="B411" s="3">
        <v>43</v>
      </c>
      <c r="C411" s="3" t="str">
        <f t="shared" si="6"/>
        <v>Middle Age</v>
      </c>
      <c r="D411" t="s">
        <v>5</v>
      </c>
      <c r="E411" t="s">
        <v>1</v>
      </c>
      <c r="F411" s="1">
        <v>44975</v>
      </c>
      <c r="G411" s="10">
        <v>36805.72</v>
      </c>
      <c r="H411">
        <v>5</v>
      </c>
    </row>
    <row r="412" spans="1:8" x14ac:dyDescent="0.5">
      <c r="A412" s="3">
        <v>34</v>
      </c>
      <c r="B412" s="3">
        <v>57</v>
      </c>
      <c r="C412" s="3" t="str">
        <f t="shared" si="6"/>
        <v>Old</v>
      </c>
      <c r="D412" t="s">
        <v>3</v>
      </c>
      <c r="E412" t="s">
        <v>6</v>
      </c>
      <c r="F412" s="1">
        <v>45205</v>
      </c>
      <c r="G412" s="10">
        <v>80108.42</v>
      </c>
      <c r="H412">
        <v>7</v>
      </c>
    </row>
    <row r="413" spans="1:8" x14ac:dyDescent="0.5">
      <c r="A413" s="3">
        <v>265</v>
      </c>
      <c r="B413" s="3">
        <v>25</v>
      </c>
      <c r="C413" s="3" t="str">
        <f t="shared" si="6"/>
        <v>Young</v>
      </c>
      <c r="D413" t="s">
        <v>5</v>
      </c>
      <c r="E413" t="s">
        <v>1</v>
      </c>
      <c r="F413" s="1">
        <v>45092</v>
      </c>
      <c r="G413" s="10">
        <v>26438.85</v>
      </c>
      <c r="H413">
        <v>24</v>
      </c>
    </row>
    <row r="414" spans="1:8" x14ac:dyDescent="0.5">
      <c r="A414" s="3">
        <v>373</v>
      </c>
      <c r="B414" s="3">
        <v>23</v>
      </c>
      <c r="C414" s="3" t="str">
        <f t="shared" si="6"/>
        <v>Young</v>
      </c>
      <c r="D414" t="s">
        <v>5</v>
      </c>
      <c r="E414" t="s">
        <v>1</v>
      </c>
      <c r="F414" s="1">
        <v>45158</v>
      </c>
      <c r="G414" s="10">
        <v>84640.86</v>
      </c>
      <c r="H414">
        <v>22</v>
      </c>
    </row>
    <row r="415" spans="1:8" x14ac:dyDescent="0.5">
      <c r="A415" s="3">
        <v>208</v>
      </c>
      <c r="B415" s="3">
        <v>96</v>
      </c>
      <c r="C415" s="3" t="str">
        <f t="shared" si="6"/>
        <v>Old</v>
      </c>
      <c r="D415" t="s">
        <v>3</v>
      </c>
      <c r="E415" t="s">
        <v>1</v>
      </c>
      <c r="F415" s="1">
        <v>45170</v>
      </c>
      <c r="G415" s="10">
        <v>54861.27</v>
      </c>
      <c r="H415">
        <v>28</v>
      </c>
    </row>
    <row r="416" spans="1:8" x14ac:dyDescent="0.5">
      <c r="A416" s="3">
        <v>459</v>
      </c>
      <c r="B416" s="3">
        <v>23</v>
      </c>
      <c r="C416" s="3" t="str">
        <f t="shared" si="6"/>
        <v>Young</v>
      </c>
      <c r="D416" t="s">
        <v>3</v>
      </c>
      <c r="E416" t="s">
        <v>2</v>
      </c>
      <c r="F416" s="1">
        <v>45212</v>
      </c>
      <c r="G416" s="10">
        <v>73591.27</v>
      </c>
      <c r="H416">
        <v>3</v>
      </c>
    </row>
    <row r="417" spans="1:8" x14ac:dyDescent="0.5">
      <c r="A417" s="3">
        <v>275</v>
      </c>
      <c r="B417" s="3">
        <v>49</v>
      </c>
      <c r="C417" s="3" t="str">
        <f t="shared" si="6"/>
        <v>Middle Age</v>
      </c>
      <c r="D417" t="s">
        <v>3</v>
      </c>
      <c r="E417" t="s">
        <v>2</v>
      </c>
      <c r="F417" s="1">
        <v>45252</v>
      </c>
      <c r="G417" s="10">
        <v>22306.03</v>
      </c>
      <c r="H417">
        <v>22</v>
      </c>
    </row>
    <row r="418" spans="1:8" x14ac:dyDescent="0.5">
      <c r="A418" s="3">
        <v>476</v>
      </c>
      <c r="B418" s="3">
        <v>37</v>
      </c>
      <c r="C418" s="3" t="str">
        <f t="shared" si="6"/>
        <v>Middle Age</v>
      </c>
      <c r="D418" t="s">
        <v>5</v>
      </c>
      <c r="E418" t="s">
        <v>1</v>
      </c>
      <c r="F418" s="1">
        <v>45082</v>
      </c>
      <c r="G418" s="10">
        <v>67967</v>
      </c>
      <c r="H418">
        <v>9</v>
      </c>
    </row>
    <row r="419" spans="1:8" x14ac:dyDescent="0.5">
      <c r="A419" s="3">
        <v>82</v>
      </c>
      <c r="B419" s="3">
        <v>87</v>
      </c>
      <c r="C419" s="3" t="str">
        <f t="shared" si="6"/>
        <v>Old</v>
      </c>
      <c r="D419" t="s">
        <v>3</v>
      </c>
      <c r="E419" t="s">
        <v>1</v>
      </c>
      <c r="F419" s="1">
        <v>45186</v>
      </c>
      <c r="G419" s="10">
        <v>21467.18</v>
      </c>
      <c r="H419">
        <v>27</v>
      </c>
    </row>
    <row r="420" spans="1:8" x14ac:dyDescent="0.5">
      <c r="A420" s="3">
        <v>475</v>
      </c>
      <c r="B420" s="3">
        <v>54</v>
      </c>
      <c r="C420" s="3" t="str">
        <f t="shared" si="6"/>
        <v>Middle Age</v>
      </c>
      <c r="D420" t="s">
        <v>5</v>
      </c>
      <c r="E420" t="s">
        <v>0</v>
      </c>
      <c r="F420" s="1">
        <v>45158</v>
      </c>
      <c r="G420" s="10">
        <v>52303.9</v>
      </c>
      <c r="H420">
        <v>20</v>
      </c>
    </row>
    <row r="421" spans="1:8" x14ac:dyDescent="0.5">
      <c r="A421" s="3">
        <v>104</v>
      </c>
      <c r="B421" s="3">
        <v>86</v>
      </c>
      <c r="C421" s="3" t="str">
        <f t="shared" si="6"/>
        <v>Old</v>
      </c>
      <c r="D421" t="s">
        <v>5</v>
      </c>
      <c r="E421" t="s">
        <v>4</v>
      </c>
      <c r="F421" s="1">
        <v>45002</v>
      </c>
      <c r="G421" s="10">
        <v>77821.61</v>
      </c>
      <c r="H421">
        <v>14</v>
      </c>
    </row>
    <row r="422" spans="1:8" x14ac:dyDescent="0.5">
      <c r="A422" s="3">
        <v>73</v>
      </c>
      <c r="B422" s="3">
        <v>70</v>
      </c>
      <c r="C422" s="3" t="str">
        <f t="shared" si="6"/>
        <v>Old</v>
      </c>
      <c r="D422" t="s">
        <v>3</v>
      </c>
      <c r="E422" t="s">
        <v>4</v>
      </c>
      <c r="F422" s="1">
        <v>45196</v>
      </c>
      <c r="G422" s="10">
        <v>40156.800000000003</v>
      </c>
      <c r="H422">
        <v>2</v>
      </c>
    </row>
    <row r="423" spans="1:8" x14ac:dyDescent="0.5">
      <c r="A423" s="3">
        <v>398</v>
      </c>
      <c r="B423" s="3">
        <v>90</v>
      </c>
      <c r="C423" s="3" t="str">
        <f t="shared" si="6"/>
        <v>Old</v>
      </c>
      <c r="D423" t="s">
        <v>3</v>
      </c>
      <c r="E423" t="s">
        <v>0</v>
      </c>
      <c r="F423" s="1">
        <v>44949</v>
      </c>
      <c r="G423" s="10">
        <v>82962.460000000006</v>
      </c>
      <c r="H423">
        <v>27</v>
      </c>
    </row>
    <row r="424" spans="1:8" x14ac:dyDescent="0.5">
      <c r="A424" s="3">
        <v>153</v>
      </c>
      <c r="B424" s="3">
        <v>33</v>
      </c>
      <c r="C424" s="3" t="str">
        <f t="shared" si="6"/>
        <v>Middle Age</v>
      </c>
      <c r="D424" t="s">
        <v>3</v>
      </c>
      <c r="E424" t="s">
        <v>0</v>
      </c>
      <c r="F424" s="1">
        <v>45225</v>
      </c>
      <c r="G424" s="10">
        <v>25882.89</v>
      </c>
      <c r="H424">
        <v>8</v>
      </c>
    </row>
    <row r="425" spans="1:8" x14ac:dyDescent="0.5">
      <c r="A425" s="3">
        <v>269</v>
      </c>
      <c r="B425" s="3">
        <v>23</v>
      </c>
      <c r="C425" s="3" t="str">
        <f t="shared" si="6"/>
        <v>Young</v>
      </c>
      <c r="D425" t="s">
        <v>5</v>
      </c>
      <c r="E425" t="s">
        <v>6</v>
      </c>
      <c r="F425" s="1">
        <v>45239</v>
      </c>
      <c r="G425" s="10">
        <v>25060.92</v>
      </c>
      <c r="H425">
        <v>1</v>
      </c>
    </row>
    <row r="426" spans="1:8" x14ac:dyDescent="0.5">
      <c r="A426" s="3">
        <v>227</v>
      </c>
      <c r="B426" s="3">
        <v>23</v>
      </c>
      <c r="C426" s="3" t="str">
        <f t="shared" si="6"/>
        <v>Young</v>
      </c>
      <c r="D426" t="s">
        <v>5</v>
      </c>
      <c r="E426" t="s">
        <v>1</v>
      </c>
      <c r="F426" s="1">
        <v>45266</v>
      </c>
      <c r="G426" s="10">
        <v>86366.39</v>
      </c>
      <c r="H426">
        <v>10</v>
      </c>
    </row>
    <row r="427" spans="1:8" x14ac:dyDescent="0.5">
      <c r="A427" s="3">
        <v>196</v>
      </c>
      <c r="B427" s="3">
        <v>23</v>
      </c>
      <c r="C427" s="3" t="str">
        <f t="shared" si="6"/>
        <v>Young</v>
      </c>
      <c r="D427" t="s">
        <v>5</v>
      </c>
      <c r="E427" t="s">
        <v>2</v>
      </c>
      <c r="F427" s="1">
        <v>45320</v>
      </c>
      <c r="G427" s="10">
        <v>6577.1</v>
      </c>
      <c r="H427">
        <v>1</v>
      </c>
    </row>
    <row r="428" spans="1:8" x14ac:dyDescent="0.5">
      <c r="A428" s="3">
        <v>125</v>
      </c>
      <c r="B428" s="3">
        <v>23</v>
      </c>
      <c r="C428" s="3" t="str">
        <f t="shared" si="6"/>
        <v>Young</v>
      </c>
      <c r="D428" t="s">
        <v>5</v>
      </c>
      <c r="E428" t="s">
        <v>1</v>
      </c>
      <c r="F428" s="1">
        <v>45275</v>
      </c>
      <c r="G428" s="10">
        <v>41102.120000000003</v>
      </c>
      <c r="H428">
        <v>16</v>
      </c>
    </row>
    <row r="429" spans="1:8" x14ac:dyDescent="0.5">
      <c r="A429" s="3">
        <v>97</v>
      </c>
      <c r="B429" s="3">
        <v>23</v>
      </c>
      <c r="C429" s="3" t="str">
        <f t="shared" si="6"/>
        <v>Young</v>
      </c>
      <c r="D429" t="s">
        <v>3</v>
      </c>
      <c r="E429" t="s">
        <v>1</v>
      </c>
      <c r="F429" s="1">
        <v>44930</v>
      </c>
      <c r="G429" s="10">
        <v>50373.38</v>
      </c>
      <c r="H429">
        <v>4</v>
      </c>
    </row>
    <row r="430" spans="1:8" x14ac:dyDescent="0.5">
      <c r="A430" s="3">
        <v>219</v>
      </c>
      <c r="B430" s="3">
        <v>65</v>
      </c>
      <c r="C430" s="3" t="str">
        <f t="shared" si="6"/>
        <v>Old</v>
      </c>
      <c r="D430" t="s">
        <v>5</v>
      </c>
      <c r="E430" t="s">
        <v>6</v>
      </c>
      <c r="F430" s="1">
        <v>45043</v>
      </c>
      <c r="G430" s="10">
        <v>34677.800000000003</v>
      </c>
      <c r="H430">
        <v>1</v>
      </c>
    </row>
    <row r="431" spans="1:8" x14ac:dyDescent="0.5">
      <c r="A431" s="3">
        <v>338</v>
      </c>
      <c r="B431" s="3">
        <v>1</v>
      </c>
      <c r="C431" s="3" t="str">
        <f t="shared" si="6"/>
        <v>Young</v>
      </c>
      <c r="D431" t="s">
        <v>5</v>
      </c>
      <c r="E431" t="s">
        <v>2</v>
      </c>
      <c r="F431" s="1">
        <v>45323</v>
      </c>
      <c r="G431" s="10">
        <v>15482.14</v>
      </c>
      <c r="H431">
        <v>24</v>
      </c>
    </row>
    <row r="432" spans="1:8" x14ac:dyDescent="0.5">
      <c r="A432" s="3">
        <v>204</v>
      </c>
      <c r="B432" s="3">
        <v>65</v>
      </c>
      <c r="C432" s="3" t="str">
        <f t="shared" si="6"/>
        <v>Old</v>
      </c>
      <c r="D432" t="s">
        <v>3</v>
      </c>
      <c r="E432" t="s">
        <v>0</v>
      </c>
      <c r="F432" s="1">
        <v>45169</v>
      </c>
      <c r="G432" s="10">
        <v>26114.77</v>
      </c>
      <c r="H432">
        <v>20</v>
      </c>
    </row>
    <row r="433" spans="1:8" x14ac:dyDescent="0.5">
      <c r="A433" s="3">
        <v>130</v>
      </c>
      <c r="B433" s="3">
        <v>49</v>
      </c>
      <c r="C433" s="3" t="str">
        <f t="shared" si="6"/>
        <v>Middle Age</v>
      </c>
      <c r="D433" t="s">
        <v>5</v>
      </c>
      <c r="E433" t="s">
        <v>0</v>
      </c>
      <c r="F433" s="1">
        <v>45148</v>
      </c>
      <c r="G433" s="10">
        <v>43388.24</v>
      </c>
      <c r="H433">
        <v>19</v>
      </c>
    </row>
    <row r="434" spans="1:8" x14ac:dyDescent="0.5">
      <c r="A434" s="3">
        <v>294</v>
      </c>
      <c r="B434" s="3">
        <v>71</v>
      </c>
      <c r="C434" s="3" t="str">
        <f t="shared" si="6"/>
        <v>Old</v>
      </c>
      <c r="D434" t="s">
        <v>3</v>
      </c>
      <c r="E434" t="s">
        <v>6</v>
      </c>
      <c r="F434" s="1">
        <v>44948</v>
      </c>
      <c r="G434" s="10">
        <v>40790.39</v>
      </c>
      <c r="H434">
        <v>8</v>
      </c>
    </row>
    <row r="435" spans="1:8" x14ac:dyDescent="0.5">
      <c r="A435" s="3">
        <v>294</v>
      </c>
      <c r="B435" s="3">
        <v>55</v>
      </c>
      <c r="C435" s="3" t="str">
        <f t="shared" si="6"/>
        <v>Middle Age</v>
      </c>
      <c r="D435" t="s">
        <v>5</v>
      </c>
      <c r="E435" t="s">
        <v>2</v>
      </c>
      <c r="F435" s="1">
        <v>45195</v>
      </c>
      <c r="G435" s="10">
        <v>85744.639999999999</v>
      </c>
      <c r="H435">
        <v>8</v>
      </c>
    </row>
    <row r="436" spans="1:8" x14ac:dyDescent="0.5">
      <c r="A436" s="3">
        <v>439</v>
      </c>
      <c r="B436" s="3">
        <v>43</v>
      </c>
      <c r="C436" s="3" t="str">
        <f t="shared" si="6"/>
        <v>Middle Age</v>
      </c>
      <c r="D436" t="s">
        <v>3</v>
      </c>
      <c r="E436" t="s">
        <v>4</v>
      </c>
      <c r="F436" s="1">
        <v>44931</v>
      </c>
      <c r="G436" s="10">
        <v>30201.75</v>
      </c>
      <c r="H436">
        <v>0</v>
      </c>
    </row>
    <row r="437" spans="1:8" x14ac:dyDescent="0.5">
      <c r="A437" s="3">
        <v>497</v>
      </c>
      <c r="B437" s="3">
        <v>88</v>
      </c>
      <c r="C437" s="3" t="str">
        <f t="shared" si="6"/>
        <v>Old</v>
      </c>
      <c r="D437" t="s">
        <v>5</v>
      </c>
      <c r="E437" t="s">
        <v>4</v>
      </c>
      <c r="F437" s="1">
        <v>45306</v>
      </c>
      <c r="G437" s="10">
        <v>47390.83</v>
      </c>
      <c r="H437">
        <v>14</v>
      </c>
    </row>
    <row r="438" spans="1:8" x14ac:dyDescent="0.5">
      <c r="A438" s="3">
        <v>458</v>
      </c>
      <c r="B438" s="3">
        <v>90</v>
      </c>
      <c r="C438" s="3" t="str">
        <f t="shared" si="6"/>
        <v>Old</v>
      </c>
      <c r="D438" t="s">
        <v>3</v>
      </c>
      <c r="E438" t="s">
        <v>0</v>
      </c>
      <c r="F438" s="1">
        <v>45284</v>
      </c>
      <c r="G438" s="10">
        <v>94258.4</v>
      </c>
      <c r="H438">
        <v>15</v>
      </c>
    </row>
    <row r="439" spans="1:8" x14ac:dyDescent="0.5">
      <c r="A439" s="3">
        <v>348</v>
      </c>
      <c r="B439" s="3">
        <v>90</v>
      </c>
      <c r="C439" s="3" t="str">
        <f t="shared" si="6"/>
        <v>Old</v>
      </c>
      <c r="D439" t="s">
        <v>5</v>
      </c>
      <c r="E439" t="s">
        <v>6</v>
      </c>
      <c r="F439" s="1">
        <v>45252</v>
      </c>
      <c r="G439" s="10">
        <v>38562.769999999997</v>
      </c>
      <c r="H439">
        <v>1</v>
      </c>
    </row>
    <row r="440" spans="1:8" x14ac:dyDescent="0.5">
      <c r="A440" s="3">
        <v>212</v>
      </c>
      <c r="B440" s="3">
        <v>81</v>
      </c>
      <c r="C440" s="3" t="str">
        <f t="shared" si="6"/>
        <v>Old</v>
      </c>
      <c r="D440" t="s">
        <v>5</v>
      </c>
      <c r="E440" t="s">
        <v>4</v>
      </c>
      <c r="F440" s="1">
        <v>45245</v>
      </c>
      <c r="G440" s="10">
        <v>72038.33</v>
      </c>
      <c r="H440">
        <v>21</v>
      </c>
    </row>
    <row r="441" spans="1:8" x14ac:dyDescent="0.5">
      <c r="A441" s="3">
        <v>44</v>
      </c>
      <c r="B441" s="3">
        <v>80</v>
      </c>
      <c r="C441" s="3" t="str">
        <f t="shared" si="6"/>
        <v>Old</v>
      </c>
      <c r="D441" t="s">
        <v>3</v>
      </c>
      <c r="E441" t="s">
        <v>2</v>
      </c>
      <c r="F441" s="1">
        <v>45235</v>
      </c>
      <c r="G441" s="10">
        <v>82784.350000000006</v>
      </c>
      <c r="H441">
        <v>26</v>
      </c>
    </row>
    <row r="442" spans="1:8" x14ac:dyDescent="0.5">
      <c r="A442" s="3">
        <v>179</v>
      </c>
      <c r="B442" s="3">
        <v>49</v>
      </c>
      <c r="C442" s="3" t="str">
        <f t="shared" si="6"/>
        <v>Middle Age</v>
      </c>
      <c r="D442" t="s">
        <v>3</v>
      </c>
      <c r="E442" t="s">
        <v>0</v>
      </c>
      <c r="F442" s="1">
        <v>45260</v>
      </c>
      <c r="G442" s="10">
        <v>5184.29</v>
      </c>
      <c r="H442">
        <v>13</v>
      </c>
    </row>
    <row r="443" spans="1:8" x14ac:dyDescent="0.5">
      <c r="A443" s="3">
        <v>341</v>
      </c>
      <c r="B443" s="3">
        <v>56</v>
      </c>
      <c r="C443" s="3" t="str">
        <f t="shared" si="6"/>
        <v>Old</v>
      </c>
      <c r="D443" t="s">
        <v>5</v>
      </c>
      <c r="E443" t="s">
        <v>4</v>
      </c>
      <c r="F443" s="1">
        <v>45034</v>
      </c>
      <c r="G443" s="10">
        <v>28374.44</v>
      </c>
      <c r="H443">
        <v>2</v>
      </c>
    </row>
    <row r="444" spans="1:8" x14ac:dyDescent="0.5">
      <c r="A444" s="3">
        <v>195</v>
      </c>
      <c r="B444" s="3">
        <v>69</v>
      </c>
      <c r="C444" s="3" t="str">
        <f t="shared" si="6"/>
        <v>Old</v>
      </c>
      <c r="D444" t="s">
        <v>5</v>
      </c>
      <c r="E444" t="s">
        <v>2</v>
      </c>
      <c r="F444" s="1">
        <v>45255</v>
      </c>
      <c r="G444" s="10">
        <v>94983.73</v>
      </c>
      <c r="H444">
        <v>0</v>
      </c>
    </row>
    <row r="445" spans="1:8" x14ac:dyDescent="0.5">
      <c r="A445" s="3">
        <v>112</v>
      </c>
      <c r="B445" s="3">
        <v>69</v>
      </c>
      <c r="C445" s="3" t="str">
        <f t="shared" si="6"/>
        <v>Old</v>
      </c>
      <c r="D445" t="s">
        <v>3</v>
      </c>
      <c r="E445" t="s">
        <v>4</v>
      </c>
      <c r="F445" s="1">
        <v>45240</v>
      </c>
      <c r="G445" s="10">
        <v>57479.68</v>
      </c>
      <c r="H445">
        <v>7</v>
      </c>
    </row>
    <row r="446" spans="1:8" x14ac:dyDescent="0.5">
      <c r="A446" s="3">
        <v>137</v>
      </c>
      <c r="B446" s="3">
        <v>62</v>
      </c>
      <c r="C446" s="3" t="str">
        <f t="shared" si="6"/>
        <v>Old</v>
      </c>
      <c r="D446" t="s">
        <v>5</v>
      </c>
      <c r="E446" t="s">
        <v>4</v>
      </c>
      <c r="F446" s="1">
        <v>45267</v>
      </c>
      <c r="G446" s="10">
        <v>15850.24</v>
      </c>
      <c r="H446">
        <v>13</v>
      </c>
    </row>
    <row r="447" spans="1:8" x14ac:dyDescent="0.5">
      <c r="A447" s="3">
        <v>251</v>
      </c>
      <c r="B447" s="3">
        <v>76</v>
      </c>
      <c r="C447" s="3" t="str">
        <f t="shared" si="6"/>
        <v>Old</v>
      </c>
      <c r="D447" t="s">
        <v>3</v>
      </c>
      <c r="E447" t="s">
        <v>0</v>
      </c>
      <c r="F447" s="1">
        <v>45042</v>
      </c>
      <c r="G447" s="10">
        <v>14902.8</v>
      </c>
      <c r="H447">
        <v>22</v>
      </c>
    </row>
    <row r="448" spans="1:8" x14ac:dyDescent="0.5">
      <c r="A448" s="3">
        <v>63</v>
      </c>
      <c r="B448" s="3">
        <v>95</v>
      </c>
      <c r="C448" s="3" t="str">
        <f t="shared" si="6"/>
        <v>Old</v>
      </c>
      <c r="D448" t="s">
        <v>5</v>
      </c>
      <c r="E448" t="s">
        <v>0</v>
      </c>
      <c r="F448" s="1">
        <v>45152</v>
      </c>
      <c r="G448" s="10">
        <v>15609.25</v>
      </c>
      <c r="H448">
        <v>19</v>
      </c>
    </row>
    <row r="449" spans="1:8" x14ac:dyDescent="0.5">
      <c r="A449" s="3">
        <v>85</v>
      </c>
      <c r="B449" s="3">
        <v>80</v>
      </c>
      <c r="C449" s="3" t="str">
        <f t="shared" si="6"/>
        <v>Old</v>
      </c>
      <c r="D449" t="s">
        <v>5</v>
      </c>
      <c r="E449" t="s">
        <v>6</v>
      </c>
      <c r="F449" s="1">
        <v>44956</v>
      </c>
      <c r="G449" s="10">
        <v>92691.93</v>
      </c>
      <c r="H449">
        <v>5</v>
      </c>
    </row>
    <row r="450" spans="1:8" x14ac:dyDescent="0.5">
      <c r="A450" s="3">
        <v>314</v>
      </c>
      <c r="B450" s="3">
        <v>26</v>
      </c>
      <c r="C450" s="3" t="str">
        <f t="shared" ref="C450:C513" si="7">IF(B450&lt;=30,"Young", IF(B450&lt;=55,"Middle Age",IF(B450&gt;55,"Old","Not found")))</f>
        <v>Young</v>
      </c>
      <c r="D450" t="s">
        <v>3</v>
      </c>
      <c r="E450" t="s">
        <v>2</v>
      </c>
      <c r="F450" s="1">
        <v>45256</v>
      </c>
      <c r="G450" s="10">
        <v>14003.59</v>
      </c>
      <c r="H450">
        <v>24</v>
      </c>
    </row>
    <row r="451" spans="1:8" x14ac:dyDescent="0.5">
      <c r="A451" s="3">
        <v>384</v>
      </c>
      <c r="B451" s="3">
        <v>52</v>
      </c>
      <c r="C451" s="3" t="str">
        <f t="shared" si="7"/>
        <v>Middle Age</v>
      </c>
      <c r="D451" t="s">
        <v>5</v>
      </c>
      <c r="E451" t="s">
        <v>4</v>
      </c>
      <c r="F451" s="1">
        <v>45296</v>
      </c>
      <c r="G451" s="10">
        <v>81781.42</v>
      </c>
      <c r="H451">
        <v>3</v>
      </c>
    </row>
    <row r="452" spans="1:8" x14ac:dyDescent="0.5">
      <c r="A452" s="3">
        <v>433</v>
      </c>
      <c r="B452" s="3">
        <v>56</v>
      </c>
      <c r="C452" s="3" t="str">
        <f t="shared" si="7"/>
        <v>Old</v>
      </c>
      <c r="D452" t="s">
        <v>5</v>
      </c>
      <c r="E452" t="s">
        <v>2</v>
      </c>
      <c r="F452" s="1">
        <v>45145</v>
      </c>
      <c r="G452" s="10">
        <v>63140.03</v>
      </c>
      <c r="H452">
        <v>8</v>
      </c>
    </row>
    <row r="453" spans="1:8" x14ac:dyDescent="0.5">
      <c r="A453" s="3">
        <v>161</v>
      </c>
      <c r="B453" s="3">
        <v>90</v>
      </c>
      <c r="C453" s="3" t="str">
        <f t="shared" si="7"/>
        <v>Old</v>
      </c>
      <c r="D453" t="s">
        <v>3</v>
      </c>
      <c r="E453" t="s">
        <v>0</v>
      </c>
      <c r="F453" s="1">
        <v>45192</v>
      </c>
      <c r="G453" s="10">
        <v>68958.7</v>
      </c>
      <c r="H453">
        <v>6</v>
      </c>
    </row>
    <row r="454" spans="1:8" x14ac:dyDescent="0.5">
      <c r="A454" s="3">
        <v>255</v>
      </c>
      <c r="B454" s="3">
        <v>99</v>
      </c>
      <c r="C454" s="3" t="str">
        <f t="shared" si="7"/>
        <v>Old</v>
      </c>
      <c r="D454" t="s">
        <v>5</v>
      </c>
      <c r="E454" t="s">
        <v>0</v>
      </c>
      <c r="F454" s="1">
        <v>45208</v>
      </c>
      <c r="G454" s="10">
        <v>35694.959999999999</v>
      </c>
      <c r="H454">
        <v>27</v>
      </c>
    </row>
    <row r="455" spans="1:8" x14ac:dyDescent="0.5">
      <c r="A455" s="3">
        <v>379</v>
      </c>
      <c r="B455" s="3">
        <v>53</v>
      </c>
      <c r="C455" s="3" t="str">
        <f t="shared" si="7"/>
        <v>Middle Age</v>
      </c>
      <c r="D455" t="s">
        <v>5</v>
      </c>
      <c r="E455" t="s">
        <v>1</v>
      </c>
      <c r="F455" s="1">
        <v>45087</v>
      </c>
      <c r="G455" s="10">
        <v>16208.4</v>
      </c>
      <c r="H455">
        <v>19</v>
      </c>
    </row>
    <row r="456" spans="1:8" x14ac:dyDescent="0.5">
      <c r="A456" s="3">
        <v>238</v>
      </c>
      <c r="B456" s="3">
        <v>23</v>
      </c>
      <c r="C456" s="3" t="str">
        <f t="shared" si="7"/>
        <v>Young</v>
      </c>
      <c r="D456" t="s">
        <v>3</v>
      </c>
      <c r="E456" t="s">
        <v>1</v>
      </c>
      <c r="F456" s="1">
        <v>45321</v>
      </c>
      <c r="G456" s="10">
        <v>96227.53</v>
      </c>
      <c r="H456">
        <v>29</v>
      </c>
    </row>
    <row r="457" spans="1:8" x14ac:dyDescent="0.5">
      <c r="A457" s="3">
        <v>323</v>
      </c>
      <c r="B457" s="3">
        <v>23</v>
      </c>
      <c r="C457" s="3" t="str">
        <f t="shared" si="7"/>
        <v>Young</v>
      </c>
      <c r="D457" t="s">
        <v>3</v>
      </c>
      <c r="E457" t="s">
        <v>4</v>
      </c>
      <c r="F457" s="1">
        <v>45089</v>
      </c>
      <c r="G457" s="10">
        <v>18236.68</v>
      </c>
      <c r="H457">
        <v>29</v>
      </c>
    </row>
    <row r="458" spans="1:8" x14ac:dyDescent="0.5">
      <c r="A458" s="3">
        <v>381</v>
      </c>
      <c r="B458" s="3">
        <v>23</v>
      </c>
      <c r="C458" s="3" t="str">
        <f t="shared" si="7"/>
        <v>Young</v>
      </c>
      <c r="D458" t="s">
        <v>3</v>
      </c>
      <c r="E458" t="s">
        <v>2</v>
      </c>
      <c r="F458" s="1">
        <v>44947</v>
      </c>
      <c r="G458" s="10">
        <v>82354.490000000005</v>
      </c>
      <c r="H458">
        <v>1</v>
      </c>
    </row>
    <row r="459" spans="1:8" x14ac:dyDescent="0.5">
      <c r="A459" s="3">
        <v>196</v>
      </c>
      <c r="B459" s="3">
        <v>90</v>
      </c>
      <c r="C459" s="3" t="str">
        <f t="shared" si="7"/>
        <v>Old</v>
      </c>
      <c r="D459" t="s">
        <v>5</v>
      </c>
      <c r="E459" t="s">
        <v>1</v>
      </c>
      <c r="F459" s="1">
        <v>44941</v>
      </c>
      <c r="G459" s="10">
        <v>98898.89</v>
      </c>
      <c r="H459">
        <v>18</v>
      </c>
    </row>
    <row r="460" spans="1:8" x14ac:dyDescent="0.5">
      <c r="A460" s="3">
        <v>426</v>
      </c>
      <c r="B460" s="3">
        <v>68</v>
      </c>
      <c r="C460" s="3" t="str">
        <f t="shared" si="7"/>
        <v>Old</v>
      </c>
      <c r="D460" t="s">
        <v>5</v>
      </c>
      <c r="E460" t="s">
        <v>0</v>
      </c>
      <c r="F460" s="1">
        <v>45227</v>
      </c>
      <c r="G460" s="10">
        <v>32319.05</v>
      </c>
      <c r="H460">
        <v>0</v>
      </c>
    </row>
    <row r="461" spans="1:8" x14ac:dyDescent="0.5">
      <c r="A461" s="3">
        <v>29</v>
      </c>
      <c r="B461" s="3">
        <v>78</v>
      </c>
      <c r="C461" s="3" t="str">
        <f t="shared" si="7"/>
        <v>Old</v>
      </c>
      <c r="D461" t="s">
        <v>3</v>
      </c>
      <c r="E461" t="s">
        <v>2</v>
      </c>
      <c r="F461" s="1">
        <v>45098</v>
      </c>
      <c r="G461" s="10">
        <v>18377.2</v>
      </c>
      <c r="H461">
        <v>21</v>
      </c>
    </row>
    <row r="462" spans="1:8" x14ac:dyDescent="0.5">
      <c r="A462" s="3">
        <v>182</v>
      </c>
      <c r="B462" s="3">
        <v>72</v>
      </c>
      <c r="C462" s="3" t="str">
        <f t="shared" si="7"/>
        <v>Old</v>
      </c>
      <c r="D462" t="s">
        <v>3</v>
      </c>
      <c r="E462" t="s">
        <v>6</v>
      </c>
      <c r="F462" s="1">
        <v>45044</v>
      </c>
      <c r="G462" s="10">
        <v>21087.66</v>
      </c>
      <c r="H462">
        <v>15</v>
      </c>
    </row>
    <row r="463" spans="1:8" x14ac:dyDescent="0.5">
      <c r="A463" s="3">
        <v>80</v>
      </c>
      <c r="B463" s="3">
        <v>28</v>
      </c>
      <c r="C463" s="3" t="str">
        <f t="shared" si="7"/>
        <v>Young</v>
      </c>
      <c r="D463" t="s">
        <v>5</v>
      </c>
      <c r="E463" t="s">
        <v>1</v>
      </c>
      <c r="F463" s="1">
        <v>45182</v>
      </c>
      <c r="G463" s="10">
        <v>31334.02</v>
      </c>
      <c r="H463">
        <v>2</v>
      </c>
    </row>
    <row r="464" spans="1:8" x14ac:dyDescent="0.5">
      <c r="A464" s="3">
        <v>430</v>
      </c>
      <c r="B464" s="3">
        <v>89</v>
      </c>
      <c r="C464" s="3" t="str">
        <f t="shared" si="7"/>
        <v>Old</v>
      </c>
      <c r="D464" t="s">
        <v>5</v>
      </c>
      <c r="E464" t="s">
        <v>0</v>
      </c>
      <c r="F464" s="1">
        <v>44976</v>
      </c>
      <c r="G464" s="10">
        <v>3286.63</v>
      </c>
      <c r="H464">
        <v>21</v>
      </c>
    </row>
    <row r="465" spans="1:8" x14ac:dyDescent="0.5">
      <c r="A465" s="3">
        <v>103</v>
      </c>
      <c r="B465" s="3">
        <v>23</v>
      </c>
      <c r="C465" s="3" t="str">
        <f t="shared" si="7"/>
        <v>Young</v>
      </c>
      <c r="D465" t="s">
        <v>5</v>
      </c>
      <c r="E465" t="s">
        <v>1</v>
      </c>
      <c r="F465" s="1">
        <v>45303</v>
      </c>
      <c r="G465" s="10">
        <v>62978.58</v>
      </c>
      <c r="H465">
        <v>25</v>
      </c>
    </row>
    <row r="466" spans="1:8" x14ac:dyDescent="0.5">
      <c r="A466" s="3">
        <v>330</v>
      </c>
      <c r="B466" s="3">
        <v>23</v>
      </c>
      <c r="C466" s="3" t="str">
        <f t="shared" si="7"/>
        <v>Young</v>
      </c>
      <c r="D466" t="s">
        <v>3</v>
      </c>
      <c r="E466" t="s">
        <v>1</v>
      </c>
      <c r="F466" s="1">
        <v>45313</v>
      </c>
      <c r="G466" s="10">
        <v>68272.929999999993</v>
      </c>
      <c r="H466">
        <v>25</v>
      </c>
    </row>
    <row r="467" spans="1:8" x14ac:dyDescent="0.5">
      <c r="A467" s="3">
        <v>362</v>
      </c>
      <c r="B467" s="3">
        <v>23</v>
      </c>
      <c r="C467" s="3" t="str">
        <f t="shared" si="7"/>
        <v>Young</v>
      </c>
      <c r="D467" t="s">
        <v>3</v>
      </c>
      <c r="E467" t="s">
        <v>2</v>
      </c>
      <c r="F467" s="1">
        <v>44940</v>
      </c>
      <c r="G467" s="10">
        <v>35726.32</v>
      </c>
      <c r="H467">
        <v>15</v>
      </c>
    </row>
    <row r="468" spans="1:8" x14ac:dyDescent="0.5">
      <c r="A468" s="3">
        <v>42</v>
      </c>
      <c r="B468" s="3">
        <v>90</v>
      </c>
      <c r="C468" s="3" t="str">
        <f t="shared" si="7"/>
        <v>Old</v>
      </c>
      <c r="D468" t="s">
        <v>3</v>
      </c>
      <c r="E468" t="s">
        <v>0</v>
      </c>
      <c r="F468" s="1">
        <v>45159</v>
      </c>
      <c r="G468" s="10">
        <v>70017.929999999993</v>
      </c>
      <c r="H468">
        <v>26</v>
      </c>
    </row>
    <row r="469" spans="1:8" x14ac:dyDescent="0.5">
      <c r="A469" s="3">
        <v>293</v>
      </c>
      <c r="B469" s="3">
        <v>23</v>
      </c>
      <c r="C469" s="3" t="str">
        <f t="shared" si="7"/>
        <v>Young</v>
      </c>
      <c r="D469" t="s">
        <v>3</v>
      </c>
      <c r="E469" t="s">
        <v>6</v>
      </c>
      <c r="F469" s="1">
        <v>45077</v>
      </c>
      <c r="G469" s="10">
        <v>6663.11</v>
      </c>
      <c r="H469">
        <v>27</v>
      </c>
    </row>
    <row r="470" spans="1:8" x14ac:dyDescent="0.5">
      <c r="A470" s="3">
        <v>425</v>
      </c>
      <c r="B470" s="3">
        <v>23</v>
      </c>
      <c r="C470" s="3" t="str">
        <f t="shared" si="7"/>
        <v>Young</v>
      </c>
      <c r="D470" t="s">
        <v>5</v>
      </c>
      <c r="E470" t="s">
        <v>2</v>
      </c>
      <c r="F470" s="1">
        <v>45173</v>
      </c>
      <c r="G470" s="10">
        <v>35929.65</v>
      </c>
      <c r="H470">
        <v>16</v>
      </c>
    </row>
    <row r="471" spans="1:8" x14ac:dyDescent="0.5">
      <c r="A471" s="3">
        <v>355</v>
      </c>
      <c r="B471" s="3">
        <v>28</v>
      </c>
      <c r="C471" s="3" t="str">
        <f t="shared" si="7"/>
        <v>Young</v>
      </c>
      <c r="D471" t="s">
        <v>3</v>
      </c>
      <c r="E471" t="s">
        <v>6</v>
      </c>
      <c r="F471" s="1">
        <v>45302</v>
      </c>
      <c r="G471" s="10">
        <v>5440.17</v>
      </c>
      <c r="H471">
        <v>29</v>
      </c>
    </row>
    <row r="472" spans="1:8" x14ac:dyDescent="0.5">
      <c r="A472" s="3">
        <v>165</v>
      </c>
      <c r="B472" s="3">
        <v>49</v>
      </c>
      <c r="C472" s="3" t="str">
        <f t="shared" si="7"/>
        <v>Middle Age</v>
      </c>
      <c r="D472" t="s">
        <v>5</v>
      </c>
      <c r="E472" t="s">
        <v>0</v>
      </c>
      <c r="F472" s="1">
        <v>45043</v>
      </c>
      <c r="G472" s="10">
        <v>82728.08</v>
      </c>
      <c r="H472">
        <v>1</v>
      </c>
    </row>
    <row r="473" spans="1:8" x14ac:dyDescent="0.5">
      <c r="A473" s="3">
        <v>343</v>
      </c>
      <c r="B473" s="3">
        <v>85</v>
      </c>
      <c r="C473" s="3" t="str">
        <f t="shared" si="7"/>
        <v>Old</v>
      </c>
      <c r="D473" t="s">
        <v>3</v>
      </c>
      <c r="E473" t="s">
        <v>1</v>
      </c>
      <c r="F473" s="1">
        <v>45143</v>
      </c>
      <c r="G473" s="10">
        <v>68053.37</v>
      </c>
      <c r="H473">
        <v>29</v>
      </c>
    </row>
    <row r="474" spans="1:8" x14ac:dyDescent="0.5">
      <c r="A474" s="3">
        <v>198</v>
      </c>
      <c r="B474" s="3">
        <v>93</v>
      </c>
      <c r="C474" s="3" t="str">
        <f t="shared" si="7"/>
        <v>Old</v>
      </c>
      <c r="D474" t="s">
        <v>3</v>
      </c>
      <c r="E474" t="s">
        <v>0</v>
      </c>
      <c r="F474" s="1">
        <v>44949</v>
      </c>
      <c r="G474" s="10">
        <v>24121.35</v>
      </c>
      <c r="H474">
        <v>16</v>
      </c>
    </row>
    <row r="475" spans="1:8" x14ac:dyDescent="0.5">
      <c r="A475" s="3">
        <v>60</v>
      </c>
      <c r="B475" s="3">
        <v>100</v>
      </c>
      <c r="C475" s="3" t="str">
        <f t="shared" si="7"/>
        <v>Old</v>
      </c>
      <c r="D475" t="s">
        <v>3</v>
      </c>
      <c r="E475" t="s">
        <v>0</v>
      </c>
      <c r="F475" s="1">
        <v>45286</v>
      </c>
      <c r="G475" s="10">
        <v>27157.13</v>
      </c>
      <c r="H475">
        <v>28</v>
      </c>
    </row>
    <row r="476" spans="1:8" x14ac:dyDescent="0.5">
      <c r="A476" s="3">
        <v>336</v>
      </c>
      <c r="B476" s="3">
        <v>90</v>
      </c>
      <c r="C476" s="3" t="str">
        <f t="shared" si="7"/>
        <v>Old</v>
      </c>
      <c r="D476" t="s">
        <v>3</v>
      </c>
      <c r="E476" t="s">
        <v>0</v>
      </c>
      <c r="F476" s="1">
        <v>44928</v>
      </c>
      <c r="G476" s="10">
        <v>88281.55</v>
      </c>
      <c r="H476">
        <v>25</v>
      </c>
    </row>
    <row r="477" spans="1:8" x14ac:dyDescent="0.5">
      <c r="A477" s="3">
        <v>132</v>
      </c>
      <c r="B477" s="3">
        <v>99</v>
      </c>
      <c r="C477" s="3" t="str">
        <f t="shared" si="7"/>
        <v>Old</v>
      </c>
      <c r="D477" t="s">
        <v>5</v>
      </c>
      <c r="E477" t="s">
        <v>6</v>
      </c>
      <c r="F477" s="1">
        <v>45155</v>
      </c>
      <c r="G477" s="10">
        <v>71126.81</v>
      </c>
      <c r="H477">
        <v>5</v>
      </c>
    </row>
    <row r="478" spans="1:8" x14ac:dyDescent="0.5">
      <c r="A478" s="3">
        <v>166</v>
      </c>
      <c r="B478" s="3">
        <v>96</v>
      </c>
      <c r="C478" s="3" t="str">
        <f t="shared" si="7"/>
        <v>Old</v>
      </c>
      <c r="D478" t="s">
        <v>5</v>
      </c>
      <c r="E478" t="s">
        <v>1</v>
      </c>
      <c r="F478" s="1">
        <v>44951</v>
      </c>
      <c r="G478" s="10">
        <v>6767.22</v>
      </c>
      <c r="H478">
        <v>19</v>
      </c>
    </row>
    <row r="479" spans="1:8" x14ac:dyDescent="0.5">
      <c r="A479" s="3">
        <v>371</v>
      </c>
      <c r="B479" s="3">
        <v>77</v>
      </c>
      <c r="C479" s="3" t="str">
        <f t="shared" si="7"/>
        <v>Old</v>
      </c>
      <c r="D479" t="s">
        <v>5</v>
      </c>
      <c r="E479" t="s">
        <v>1</v>
      </c>
      <c r="F479" s="1">
        <v>45249</v>
      </c>
      <c r="G479" s="10">
        <v>36142.22</v>
      </c>
      <c r="H479">
        <v>26</v>
      </c>
    </row>
    <row r="480" spans="1:8" x14ac:dyDescent="0.5">
      <c r="A480" s="3">
        <v>87</v>
      </c>
      <c r="B480" s="3">
        <v>23</v>
      </c>
      <c r="C480" s="3" t="str">
        <f t="shared" si="7"/>
        <v>Young</v>
      </c>
      <c r="D480" t="s">
        <v>5</v>
      </c>
      <c r="E480" t="s">
        <v>0</v>
      </c>
      <c r="F480" s="1">
        <v>45032</v>
      </c>
      <c r="G480" s="10">
        <v>13245.95</v>
      </c>
      <c r="H480">
        <v>6</v>
      </c>
    </row>
    <row r="481" spans="1:8" x14ac:dyDescent="0.5">
      <c r="A481" s="3">
        <v>175</v>
      </c>
      <c r="B481" s="3">
        <v>23</v>
      </c>
      <c r="C481" s="3" t="str">
        <f t="shared" si="7"/>
        <v>Young</v>
      </c>
      <c r="D481" t="s">
        <v>5</v>
      </c>
      <c r="E481" t="s">
        <v>4</v>
      </c>
      <c r="F481" s="1">
        <v>44939</v>
      </c>
      <c r="G481" s="10">
        <v>23790.54</v>
      </c>
      <c r="H481">
        <v>23</v>
      </c>
    </row>
    <row r="482" spans="1:8" x14ac:dyDescent="0.5">
      <c r="A482" s="3">
        <v>15</v>
      </c>
      <c r="B482" s="3">
        <v>38</v>
      </c>
      <c r="C482" s="3" t="str">
        <f t="shared" si="7"/>
        <v>Middle Age</v>
      </c>
      <c r="D482" t="s">
        <v>5</v>
      </c>
      <c r="E482" t="s">
        <v>4</v>
      </c>
      <c r="F482" s="1">
        <v>45029</v>
      </c>
      <c r="G482" s="10">
        <v>70487.649999999994</v>
      </c>
      <c r="H482">
        <v>26</v>
      </c>
    </row>
    <row r="483" spans="1:8" x14ac:dyDescent="0.5">
      <c r="A483" s="3">
        <v>485</v>
      </c>
      <c r="B483" s="3">
        <v>31</v>
      </c>
      <c r="C483" s="3" t="str">
        <f t="shared" si="7"/>
        <v>Middle Age</v>
      </c>
      <c r="D483" t="s">
        <v>5</v>
      </c>
      <c r="E483" t="s">
        <v>6</v>
      </c>
      <c r="F483" s="1">
        <v>44995</v>
      </c>
      <c r="G483" s="10">
        <v>31320.880000000001</v>
      </c>
      <c r="H483">
        <v>18</v>
      </c>
    </row>
    <row r="484" spans="1:8" x14ac:dyDescent="0.5">
      <c r="A484" s="3">
        <v>148</v>
      </c>
      <c r="B484" s="3">
        <v>83</v>
      </c>
      <c r="C484" s="3" t="str">
        <f t="shared" si="7"/>
        <v>Old</v>
      </c>
      <c r="D484" t="s">
        <v>5</v>
      </c>
      <c r="E484" t="s">
        <v>4</v>
      </c>
      <c r="F484" s="1">
        <v>45171</v>
      </c>
      <c r="G484" s="10">
        <v>92438.2</v>
      </c>
      <c r="H484">
        <v>11</v>
      </c>
    </row>
    <row r="485" spans="1:8" x14ac:dyDescent="0.5">
      <c r="A485" s="3">
        <v>365</v>
      </c>
      <c r="B485" s="3">
        <v>50</v>
      </c>
      <c r="C485" s="3" t="str">
        <f t="shared" si="7"/>
        <v>Middle Age</v>
      </c>
      <c r="D485" t="s">
        <v>5</v>
      </c>
      <c r="E485" t="s">
        <v>1</v>
      </c>
      <c r="F485" s="1">
        <v>45239</v>
      </c>
      <c r="G485" s="10">
        <v>91654.03</v>
      </c>
      <c r="H485">
        <v>13</v>
      </c>
    </row>
    <row r="486" spans="1:8" x14ac:dyDescent="0.5">
      <c r="A486" s="3">
        <v>294</v>
      </c>
      <c r="B486" s="3">
        <v>59</v>
      </c>
      <c r="C486" s="3" t="str">
        <f t="shared" si="7"/>
        <v>Old</v>
      </c>
      <c r="D486" t="s">
        <v>5</v>
      </c>
      <c r="E486" t="s">
        <v>0</v>
      </c>
      <c r="F486" s="1">
        <v>45015</v>
      </c>
      <c r="G486" s="10">
        <v>1233.58</v>
      </c>
      <c r="H486">
        <v>0</v>
      </c>
    </row>
    <row r="487" spans="1:8" x14ac:dyDescent="0.5">
      <c r="A487" s="3">
        <v>314</v>
      </c>
      <c r="B487" s="3">
        <v>96</v>
      </c>
      <c r="C487" s="3" t="str">
        <f t="shared" si="7"/>
        <v>Old</v>
      </c>
      <c r="D487" t="s">
        <v>3</v>
      </c>
      <c r="E487" t="s">
        <v>4</v>
      </c>
      <c r="F487" s="1">
        <v>45231</v>
      </c>
      <c r="G487" s="10">
        <v>60718.14</v>
      </c>
      <c r="H487">
        <v>12</v>
      </c>
    </row>
    <row r="488" spans="1:8" x14ac:dyDescent="0.5">
      <c r="A488" s="3">
        <v>495</v>
      </c>
      <c r="B488" s="3">
        <v>23</v>
      </c>
      <c r="C488" s="3" t="str">
        <f t="shared" si="7"/>
        <v>Young</v>
      </c>
      <c r="D488" t="s">
        <v>3</v>
      </c>
      <c r="E488" t="s">
        <v>1</v>
      </c>
      <c r="F488" s="1">
        <v>45153</v>
      </c>
      <c r="G488" s="10">
        <v>77200.88</v>
      </c>
      <c r="H488">
        <v>4</v>
      </c>
    </row>
    <row r="489" spans="1:8" x14ac:dyDescent="0.5">
      <c r="A489" s="3">
        <v>344</v>
      </c>
      <c r="B489" s="3">
        <v>97</v>
      </c>
      <c r="C489" s="3" t="str">
        <f t="shared" si="7"/>
        <v>Old</v>
      </c>
      <c r="D489" t="s">
        <v>3</v>
      </c>
      <c r="E489" t="s">
        <v>6</v>
      </c>
      <c r="F489" s="1">
        <v>45326</v>
      </c>
      <c r="G489" s="10">
        <v>76542.81</v>
      </c>
      <c r="H489">
        <v>23</v>
      </c>
    </row>
    <row r="490" spans="1:8" x14ac:dyDescent="0.5">
      <c r="A490" s="3">
        <v>70</v>
      </c>
      <c r="B490" s="3">
        <v>93</v>
      </c>
      <c r="C490" s="3" t="str">
        <f t="shared" si="7"/>
        <v>Old</v>
      </c>
      <c r="D490" t="s">
        <v>5</v>
      </c>
      <c r="E490" t="s">
        <v>6</v>
      </c>
      <c r="F490" s="1">
        <v>45211</v>
      </c>
      <c r="G490" s="10">
        <v>10453.11</v>
      </c>
      <c r="H490">
        <v>1</v>
      </c>
    </row>
    <row r="491" spans="1:8" x14ac:dyDescent="0.5">
      <c r="A491" s="3">
        <v>268</v>
      </c>
      <c r="B491" s="3">
        <v>35</v>
      </c>
      <c r="C491" s="3" t="str">
        <f t="shared" si="7"/>
        <v>Middle Age</v>
      </c>
      <c r="D491" t="s">
        <v>3</v>
      </c>
      <c r="E491" t="s">
        <v>4</v>
      </c>
      <c r="F491" s="1">
        <v>45217</v>
      </c>
      <c r="G491" s="10">
        <v>27311.279999999999</v>
      </c>
      <c r="H491">
        <v>11</v>
      </c>
    </row>
    <row r="492" spans="1:8" x14ac:dyDescent="0.5">
      <c r="A492" s="3">
        <v>27</v>
      </c>
      <c r="B492" s="3">
        <v>35</v>
      </c>
      <c r="C492" s="3" t="str">
        <f t="shared" si="7"/>
        <v>Middle Age</v>
      </c>
      <c r="D492" t="s">
        <v>3</v>
      </c>
      <c r="E492" t="s">
        <v>0</v>
      </c>
      <c r="F492" s="1">
        <v>45206</v>
      </c>
      <c r="G492" s="10">
        <v>54882.91</v>
      </c>
      <c r="H492">
        <v>8</v>
      </c>
    </row>
    <row r="493" spans="1:8" x14ac:dyDescent="0.5">
      <c r="A493" s="3">
        <v>291</v>
      </c>
      <c r="B493" s="3">
        <v>104</v>
      </c>
      <c r="C493" s="3" t="str">
        <f t="shared" si="7"/>
        <v>Old</v>
      </c>
      <c r="D493" t="s">
        <v>5</v>
      </c>
      <c r="E493" t="s">
        <v>1</v>
      </c>
      <c r="F493" s="1">
        <v>44956</v>
      </c>
      <c r="G493" s="10">
        <v>87930.59</v>
      </c>
      <c r="H493">
        <v>27</v>
      </c>
    </row>
    <row r="494" spans="1:8" x14ac:dyDescent="0.5">
      <c r="A494" s="3">
        <v>81</v>
      </c>
      <c r="B494" s="3">
        <v>24</v>
      </c>
      <c r="C494" s="3" t="str">
        <f t="shared" si="7"/>
        <v>Young</v>
      </c>
      <c r="D494" t="s">
        <v>5</v>
      </c>
      <c r="E494" t="s">
        <v>4</v>
      </c>
      <c r="F494" s="1">
        <v>45254</v>
      </c>
      <c r="G494" s="10">
        <v>49515.86</v>
      </c>
      <c r="H494">
        <v>25</v>
      </c>
    </row>
    <row r="495" spans="1:8" x14ac:dyDescent="0.5">
      <c r="A495" s="3">
        <v>298</v>
      </c>
      <c r="B495" s="3">
        <v>23</v>
      </c>
      <c r="C495" s="3" t="str">
        <f t="shared" si="7"/>
        <v>Young</v>
      </c>
      <c r="D495" t="s">
        <v>5</v>
      </c>
      <c r="E495" t="s">
        <v>1</v>
      </c>
      <c r="F495" s="1">
        <v>45245</v>
      </c>
      <c r="G495" s="10">
        <v>33919.33</v>
      </c>
      <c r="H495">
        <v>5</v>
      </c>
    </row>
    <row r="496" spans="1:8" x14ac:dyDescent="0.5">
      <c r="A496" s="3">
        <v>340</v>
      </c>
      <c r="B496" s="3">
        <v>88</v>
      </c>
      <c r="C496" s="3" t="str">
        <f t="shared" si="7"/>
        <v>Old</v>
      </c>
      <c r="D496" t="s">
        <v>5</v>
      </c>
      <c r="E496" t="s">
        <v>1</v>
      </c>
      <c r="F496" s="1">
        <v>45278</v>
      </c>
      <c r="G496" s="10">
        <v>38833.71</v>
      </c>
      <c r="H496">
        <v>28</v>
      </c>
    </row>
    <row r="497" spans="1:8" x14ac:dyDescent="0.5">
      <c r="A497" s="3">
        <v>291</v>
      </c>
      <c r="B497" s="3">
        <v>31</v>
      </c>
      <c r="C497" s="3" t="str">
        <f t="shared" si="7"/>
        <v>Middle Age</v>
      </c>
      <c r="D497" t="s">
        <v>5</v>
      </c>
      <c r="E497" t="s">
        <v>0</v>
      </c>
      <c r="F497" s="1">
        <v>45014</v>
      </c>
      <c r="G497" s="10">
        <v>88571.71</v>
      </c>
      <c r="H497">
        <v>19</v>
      </c>
    </row>
    <row r="498" spans="1:8" x14ac:dyDescent="0.5">
      <c r="A498" s="3">
        <v>448</v>
      </c>
      <c r="B498" s="3">
        <v>89</v>
      </c>
      <c r="C498" s="3" t="str">
        <f t="shared" si="7"/>
        <v>Old</v>
      </c>
      <c r="D498" t="s">
        <v>3</v>
      </c>
      <c r="E498" t="s">
        <v>4</v>
      </c>
      <c r="F498" s="1">
        <v>45003</v>
      </c>
      <c r="G498" s="10">
        <v>29759.98</v>
      </c>
      <c r="H498">
        <v>29</v>
      </c>
    </row>
    <row r="499" spans="1:8" x14ac:dyDescent="0.5">
      <c r="A499" s="3">
        <v>499</v>
      </c>
      <c r="B499" s="3">
        <v>104</v>
      </c>
      <c r="C499" s="3" t="str">
        <f t="shared" si="7"/>
        <v>Old</v>
      </c>
      <c r="D499" t="s">
        <v>3</v>
      </c>
      <c r="E499" t="s">
        <v>0</v>
      </c>
      <c r="F499" s="1">
        <v>45160</v>
      </c>
      <c r="G499" s="10">
        <v>54101.32</v>
      </c>
      <c r="H499">
        <v>16</v>
      </c>
    </row>
    <row r="500" spans="1:8" x14ac:dyDescent="0.5">
      <c r="A500" s="3">
        <v>331</v>
      </c>
      <c r="B500" s="3">
        <v>25</v>
      </c>
      <c r="C500" s="3" t="str">
        <f t="shared" si="7"/>
        <v>Young</v>
      </c>
      <c r="D500" t="s">
        <v>3</v>
      </c>
      <c r="E500" t="s">
        <v>4</v>
      </c>
      <c r="F500" s="1">
        <v>44963</v>
      </c>
      <c r="G500" s="10">
        <v>18813.37</v>
      </c>
      <c r="H500">
        <v>25</v>
      </c>
    </row>
    <row r="501" spans="1:8" x14ac:dyDescent="0.5">
      <c r="A501" s="3">
        <v>325</v>
      </c>
      <c r="B501" s="3">
        <v>69</v>
      </c>
      <c r="C501" s="3" t="str">
        <f t="shared" si="7"/>
        <v>Old</v>
      </c>
      <c r="D501" t="s">
        <v>5</v>
      </c>
      <c r="E501" t="s">
        <v>2</v>
      </c>
      <c r="F501" s="1">
        <v>45229</v>
      </c>
      <c r="G501" s="10">
        <v>31585.64</v>
      </c>
      <c r="H501">
        <v>24</v>
      </c>
    </row>
    <row r="502" spans="1:8" x14ac:dyDescent="0.5">
      <c r="A502" s="3">
        <v>196</v>
      </c>
      <c r="B502" s="3">
        <v>23</v>
      </c>
      <c r="C502" s="3" t="str">
        <f t="shared" si="7"/>
        <v>Young</v>
      </c>
      <c r="D502" t="s">
        <v>5</v>
      </c>
      <c r="E502" t="s">
        <v>6</v>
      </c>
      <c r="F502" s="1">
        <v>45258</v>
      </c>
      <c r="G502" s="10">
        <v>4812.1099999999997</v>
      </c>
      <c r="H502">
        <v>28</v>
      </c>
    </row>
    <row r="503" spans="1:8" x14ac:dyDescent="0.5">
      <c r="A503" s="3">
        <v>5</v>
      </c>
      <c r="B503" s="3">
        <v>40</v>
      </c>
      <c r="C503" s="3" t="str">
        <f t="shared" si="7"/>
        <v>Middle Age</v>
      </c>
      <c r="D503" t="s">
        <v>3</v>
      </c>
      <c r="E503" t="s">
        <v>6</v>
      </c>
      <c r="F503" s="1">
        <v>45102</v>
      </c>
      <c r="G503" s="10">
        <v>94613.03</v>
      </c>
      <c r="H503">
        <v>18</v>
      </c>
    </row>
    <row r="504" spans="1:8" x14ac:dyDescent="0.5">
      <c r="A504" s="3">
        <v>136</v>
      </c>
      <c r="B504" s="3">
        <v>40</v>
      </c>
      <c r="C504" s="3" t="str">
        <f t="shared" si="7"/>
        <v>Middle Age</v>
      </c>
      <c r="D504" t="s">
        <v>5</v>
      </c>
      <c r="E504" t="s">
        <v>2</v>
      </c>
      <c r="F504" s="1">
        <v>45001</v>
      </c>
      <c r="G504" s="10">
        <v>14428.91</v>
      </c>
      <c r="H504">
        <v>13</v>
      </c>
    </row>
    <row r="505" spans="1:8" x14ac:dyDescent="0.5">
      <c r="A505" s="3">
        <v>235</v>
      </c>
      <c r="B505" s="3">
        <v>21</v>
      </c>
      <c r="C505" s="3" t="str">
        <f t="shared" si="7"/>
        <v>Young</v>
      </c>
      <c r="D505" t="s">
        <v>5</v>
      </c>
      <c r="E505" t="s">
        <v>2</v>
      </c>
      <c r="F505" s="1">
        <v>45316</v>
      </c>
      <c r="G505" s="10">
        <v>1397.85</v>
      </c>
      <c r="H505">
        <v>9</v>
      </c>
    </row>
    <row r="506" spans="1:8" x14ac:dyDescent="0.5">
      <c r="A506" s="3">
        <v>315</v>
      </c>
      <c r="B506" s="3">
        <v>64</v>
      </c>
      <c r="C506" s="3" t="str">
        <f t="shared" si="7"/>
        <v>Old</v>
      </c>
      <c r="D506" t="s">
        <v>3</v>
      </c>
      <c r="E506" t="s">
        <v>4</v>
      </c>
      <c r="F506" s="1">
        <v>45316</v>
      </c>
      <c r="G506" s="10">
        <v>14012.22</v>
      </c>
      <c r="H506">
        <v>16</v>
      </c>
    </row>
    <row r="507" spans="1:8" x14ac:dyDescent="0.5">
      <c r="A507" s="3">
        <v>259</v>
      </c>
      <c r="B507" s="3">
        <v>76</v>
      </c>
      <c r="C507" s="3" t="str">
        <f t="shared" si="7"/>
        <v>Old</v>
      </c>
      <c r="D507" t="s">
        <v>5</v>
      </c>
      <c r="E507" t="s">
        <v>1</v>
      </c>
      <c r="F507" s="1">
        <v>45275</v>
      </c>
      <c r="G507" s="10">
        <v>52289.96</v>
      </c>
      <c r="H507">
        <v>8</v>
      </c>
    </row>
    <row r="508" spans="1:8" x14ac:dyDescent="0.5">
      <c r="A508" s="3">
        <v>296</v>
      </c>
      <c r="B508" s="3">
        <v>102</v>
      </c>
      <c r="C508" s="3" t="str">
        <f t="shared" si="7"/>
        <v>Old</v>
      </c>
      <c r="D508" t="s">
        <v>3</v>
      </c>
      <c r="E508" t="s">
        <v>2</v>
      </c>
      <c r="F508" s="1">
        <v>44960</v>
      </c>
      <c r="G508" s="10">
        <v>4688.6400000000003</v>
      </c>
      <c r="H508">
        <v>6</v>
      </c>
    </row>
    <row r="509" spans="1:8" x14ac:dyDescent="0.5">
      <c r="A509" s="3">
        <v>441</v>
      </c>
      <c r="B509" s="3">
        <v>57</v>
      </c>
      <c r="C509" s="3" t="str">
        <f t="shared" si="7"/>
        <v>Old</v>
      </c>
      <c r="D509" t="s">
        <v>5</v>
      </c>
      <c r="E509" t="s">
        <v>0</v>
      </c>
      <c r="F509" s="1">
        <v>44961</v>
      </c>
      <c r="G509" s="10">
        <v>58850.28</v>
      </c>
      <c r="H509">
        <v>5</v>
      </c>
    </row>
    <row r="510" spans="1:8" x14ac:dyDescent="0.5">
      <c r="A510" s="3">
        <v>331</v>
      </c>
      <c r="B510" s="3">
        <v>23</v>
      </c>
      <c r="C510" s="3" t="str">
        <f t="shared" si="7"/>
        <v>Young</v>
      </c>
      <c r="D510" t="s">
        <v>5</v>
      </c>
      <c r="E510" t="s">
        <v>1</v>
      </c>
      <c r="F510" s="1">
        <v>45326</v>
      </c>
      <c r="G510" s="10">
        <v>77241.83</v>
      </c>
      <c r="H510">
        <v>14</v>
      </c>
    </row>
    <row r="511" spans="1:8" x14ac:dyDescent="0.5">
      <c r="A511" s="3">
        <v>73</v>
      </c>
      <c r="B511" s="3">
        <v>63</v>
      </c>
      <c r="C511" s="3" t="str">
        <f t="shared" si="7"/>
        <v>Old</v>
      </c>
      <c r="D511" t="s">
        <v>5</v>
      </c>
      <c r="E511" t="s">
        <v>6</v>
      </c>
      <c r="F511" s="1">
        <v>44969</v>
      </c>
      <c r="G511" s="10">
        <v>18185.14</v>
      </c>
      <c r="H511">
        <v>22</v>
      </c>
    </row>
    <row r="512" spans="1:8" x14ac:dyDescent="0.5">
      <c r="A512" s="3">
        <v>350</v>
      </c>
      <c r="B512" s="3">
        <v>24</v>
      </c>
      <c r="C512" s="3" t="str">
        <f t="shared" si="7"/>
        <v>Young</v>
      </c>
      <c r="D512" t="s">
        <v>3</v>
      </c>
      <c r="E512" t="s">
        <v>1</v>
      </c>
      <c r="F512" s="1">
        <v>45048</v>
      </c>
      <c r="G512" s="10">
        <v>66599.38</v>
      </c>
      <c r="H512">
        <v>15</v>
      </c>
    </row>
    <row r="513" spans="1:8" x14ac:dyDescent="0.5">
      <c r="A513" s="3">
        <v>5</v>
      </c>
      <c r="B513" s="3">
        <v>23</v>
      </c>
      <c r="C513" s="3" t="str">
        <f t="shared" si="7"/>
        <v>Young</v>
      </c>
      <c r="D513" t="s">
        <v>5</v>
      </c>
      <c r="E513" t="s">
        <v>2</v>
      </c>
      <c r="F513" s="1">
        <v>45049</v>
      </c>
      <c r="G513" s="10">
        <v>24282.85</v>
      </c>
      <c r="H513">
        <v>7</v>
      </c>
    </row>
    <row r="514" spans="1:8" x14ac:dyDescent="0.5">
      <c r="A514" s="3">
        <v>1</v>
      </c>
      <c r="B514" s="3">
        <v>81</v>
      </c>
      <c r="C514" s="3" t="str">
        <f t="shared" ref="C514:C577" si="8">IF(B514&lt;=30,"Young", IF(B514&lt;=55,"Middle Age",IF(B514&gt;55,"Old","Not found")))</f>
        <v>Old</v>
      </c>
      <c r="D514" t="s">
        <v>3</v>
      </c>
      <c r="E514" t="s">
        <v>1</v>
      </c>
      <c r="F514" s="1">
        <v>45312</v>
      </c>
      <c r="G514" s="10">
        <v>38381.74</v>
      </c>
      <c r="H514">
        <v>4</v>
      </c>
    </row>
    <row r="515" spans="1:8" x14ac:dyDescent="0.5">
      <c r="A515" s="3">
        <v>181</v>
      </c>
      <c r="B515" s="3">
        <v>90</v>
      </c>
      <c r="C515" s="3" t="str">
        <f t="shared" si="8"/>
        <v>Old</v>
      </c>
      <c r="D515" t="s">
        <v>3</v>
      </c>
      <c r="E515" t="s">
        <v>4</v>
      </c>
      <c r="F515" s="1">
        <v>44976</v>
      </c>
      <c r="G515" s="10">
        <v>92799.22</v>
      </c>
      <c r="H515">
        <v>24</v>
      </c>
    </row>
    <row r="516" spans="1:8" x14ac:dyDescent="0.5">
      <c r="A516" s="3">
        <v>114</v>
      </c>
      <c r="B516" s="3">
        <v>90</v>
      </c>
      <c r="C516" s="3" t="str">
        <f t="shared" si="8"/>
        <v>Old</v>
      </c>
      <c r="D516" t="s">
        <v>3</v>
      </c>
      <c r="E516" t="s">
        <v>6</v>
      </c>
      <c r="F516" s="1">
        <v>45127</v>
      </c>
      <c r="G516" s="10">
        <v>92885.6</v>
      </c>
      <c r="H516">
        <v>7</v>
      </c>
    </row>
    <row r="517" spans="1:8" x14ac:dyDescent="0.5">
      <c r="A517" s="3">
        <v>21</v>
      </c>
      <c r="B517" s="3">
        <v>76</v>
      </c>
      <c r="C517" s="3" t="str">
        <f t="shared" si="8"/>
        <v>Old</v>
      </c>
      <c r="D517" t="s">
        <v>3</v>
      </c>
      <c r="E517" t="s">
        <v>1</v>
      </c>
      <c r="F517" s="1">
        <v>45137</v>
      </c>
      <c r="G517" s="10">
        <v>28345.040000000001</v>
      </c>
      <c r="H517">
        <v>24</v>
      </c>
    </row>
    <row r="518" spans="1:8" x14ac:dyDescent="0.5">
      <c r="A518" s="3">
        <v>125</v>
      </c>
      <c r="B518" s="3">
        <v>61</v>
      </c>
      <c r="C518" s="3" t="str">
        <f t="shared" si="8"/>
        <v>Old</v>
      </c>
      <c r="D518" t="s">
        <v>3</v>
      </c>
      <c r="E518" t="s">
        <v>1</v>
      </c>
      <c r="F518" s="1">
        <v>45028</v>
      </c>
      <c r="G518" s="10">
        <v>75769.05</v>
      </c>
      <c r="H518">
        <v>27</v>
      </c>
    </row>
    <row r="519" spans="1:8" x14ac:dyDescent="0.5">
      <c r="A519" s="3">
        <v>478</v>
      </c>
      <c r="B519" s="3">
        <v>60</v>
      </c>
      <c r="C519" s="3" t="str">
        <f t="shared" si="8"/>
        <v>Old</v>
      </c>
      <c r="D519" t="s">
        <v>3</v>
      </c>
      <c r="E519" t="s">
        <v>1</v>
      </c>
      <c r="F519" s="1">
        <v>45077</v>
      </c>
      <c r="G519" s="10">
        <v>73454.05</v>
      </c>
      <c r="H519">
        <v>18</v>
      </c>
    </row>
    <row r="520" spans="1:8" x14ac:dyDescent="0.5">
      <c r="A520" s="3">
        <v>378</v>
      </c>
      <c r="B520" s="3">
        <v>35</v>
      </c>
      <c r="C520" s="3" t="str">
        <f t="shared" si="8"/>
        <v>Middle Age</v>
      </c>
      <c r="D520" t="s">
        <v>5</v>
      </c>
      <c r="E520" t="s">
        <v>0</v>
      </c>
      <c r="F520" s="1">
        <v>45267</v>
      </c>
      <c r="G520" s="10">
        <v>89396.06</v>
      </c>
      <c r="H520">
        <v>26</v>
      </c>
    </row>
    <row r="521" spans="1:8" x14ac:dyDescent="0.5">
      <c r="A521" s="3">
        <v>32</v>
      </c>
      <c r="B521" s="3">
        <v>23</v>
      </c>
      <c r="C521" s="3" t="str">
        <f t="shared" si="8"/>
        <v>Young</v>
      </c>
      <c r="D521" t="s">
        <v>3</v>
      </c>
      <c r="E521" t="s">
        <v>1</v>
      </c>
      <c r="F521" s="1">
        <v>45016</v>
      </c>
      <c r="G521" s="10">
        <v>68544.259999999995</v>
      </c>
      <c r="H521">
        <v>18</v>
      </c>
    </row>
    <row r="522" spans="1:8" x14ac:dyDescent="0.5">
      <c r="A522" s="3">
        <v>369</v>
      </c>
      <c r="B522" s="3">
        <v>90</v>
      </c>
      <c r="C522" s="3" t="str">
        <f t="shared" si="8"/>
        <v>Old</v>
      </c>
      <c r="D522" t="s">
        <v>5</v>
      </c>
      <c r="E522" t="s">
        <v>2</v>
      </c>
      <c r="F522" s="1">
        <v>44973</v>
      </c>
      <c r="G522" s="10">
        <v>88827.46</v>
      </c>
      <c r="H522">
        <v>3</v>
      </c>
    </row>
    <row r="523" spans="1:8" x14ac:dyDescent="0.5">
      <c r="A523" s="3">
        <v>50</v>
      </c>
      <c r="B523" s="3">
        <v>96</v>
      </c>
      <c r="C523" s="3" t="str">
        <f t="shared" si="8"/>
        <v>Old</v>
      </c>
      <c r="D523" t="s">
        <v>5</v>
      </c>
      <c r="E523" t="s">
        <v>6</v>
      </c>
      <c r="F523" s="1">
        <v>45032</v>
      </c>
      <c r="G523" s="10">
        <v>93101.63</v>
      </c>
      <c r="H523">
        <v>27</v>
      </c>
    </row>
    <row r="524" spans="1:8" x14ac:dyDescent="0.5">
      <c r="A524" s="3">
        <v>369</v>
      </c>
      <c r="B524" s="3">
        <v>90</v>
      </c>
      <c r="C524" s="3" t="str">
        <f t="shared" si="8"/>
        <v>Old</v>
      </c>
      <c r="D524" t="s">
        <v>5</v>
      </c>
      <c r="E524" t="s">
        <v>6</v>
      </c>
      <c r="F524" s="1">
        <v>44949</v>
      </c>
      <c r="G524" s="10">
        <v>19664.87</v>
      </c>
      <c r="H524">
        <v>21</v>
      </c>
    </row>
    <row r="525" spans="1:8" x14ac:dyDescent="0.5">
      <c r="A525" s="3">
        <v>235</v>
      </c>
      <c r="B525" s="3">
        <v>1</v>
      </c>
      <c r="C525" s="3" t="str">
        <f t="shared" si="8"/>
        <v>Young</v>
      </c>
      <c r="D525" t="s">
        <v>5</v>
      </c>
      <c r="E525" t="s">
        <v>1</v>
      </c>
      <c r="F525" s="1">
        <v>45161</v>
      </c>
      <c r="G525" s="10">
        <v>16313.13</v>
      </c>
      <c r="H525">
        <v>27</v>
      </c>
    </row>
    <row r="526" spans="1:8" x14ac:dyDescent="0.5">
      <c r="A526" s="3">
        <v>159</v>
      </c>
      <c r="B526" s="3">
        <v>94</v>
      </c>
      <c r="C526" s="3" t="str">
        <f t="shared" si="8"/>
        <v>Old</v>
      </c>
      <c r="D526" t="s">
        <v>5</v>
      </c>
      <c r="E526" t="s">
        <v>6</v>
      </c>
      <c r="F526" s="1">
        <v>45086</v>
      </c>
      <c r="G526" s="10">
        <v>81604.31</v>
      </c>
      <c r="H526">
        <v>24</v>
      </c>
    </row>
    <row r="527" spans="1:8" x14ac:dyDescent="0.5">
      <c r="A527" s="3">
        <v>115</v>
      </c>
      <c r="B527" s="3">
        <v>23</v>
      </c>
      <c r="C527" s="3" t="str">
        <f t="shared" si="8"/>
        <v>Young</v>
      </c>
      <c r="D527" t="s">
        <v>3</v>
      </c>
      <c r="E527" t="s">
        <v>6</v>
      </c>
      <c r="F527" s="1">
        <v>45030</v>
      </c>
      <c r="G527" s="10">
        <v>69138.429999999993</v>
      </c>
      <c r="H527">
        <v>0</v>
      </c>
    </row>
    <row r="528" spans="1:8" x14ac:dyDescent="0.5">
      <c r="A528" s="3">
        <v>321</v>
      </c>
      <c r="B528" s="3">
        <v>90</v>
      </c>
      <c r="C528" s="3" t="str">
        <f t="shared" si="8"/>
        <v>Old</v>
      </c>
      <c r="D528" t="s">
        <v>5</v>
      </c>
      <c r="E528" t="s">
        <v>2</v>
      </c>
      <c r="F528" s="1">
        <v>45024</v>
      </c>
      <c r="G528" s="10">
        <v>61076.22</v>
      </c>
      <c r="H528">
        <v>0</v>
      </c>
    </row>
    <row r="529" spans="1:8" x14ac:dyDescent="0.5">
      <c r="A529" s="3">
        <v>163</v>
      </c>
      <c r="B529" s="3">
        <v>83</v>
      </c>
      <c r="C529" s="3" t="str">
        <f t="shared" si="8"/>
        <v>Old</v>
      </c>
      <c r="D529" t="s">
        <v>3</v>
      </c>
      <c r="E529" t="s">
        <v>4</v>
      </c>
      <c r="F529" s="1">
        <v>45137</v>
      </c>
      <c r="G529" s="10">
        <v>32690.74</v>
      </c>
      <c r="H529">
        <v>16</v>
      </c>
    </row>
    <row r="530" spans="1:8" x14ac:dyDescent="0.5">
      <c r="A530" s="3">
        <v>85</v>
      </c>
      <c r="B530" s="3">
        <v>60</v>
      </c>
      <c r="C530" s="3" t="str">
        <f t="shared" si="8"/>
        <v>Old</v>
      </c>
      <c r="D530" t="s">
        <v>5</v>
      </c>
      <c r="E530" t="s">
        <v>6</v>
      </c>
      <c r="F530" s="1">
        <v>45220</v>
      </c>
      <c r="G530" s="10">
        <v>28037.14</v>
      </c>
      <c r="H530">
        <v>10</v>
      </c>
    </row>
    <row r="531" spans="1:8" x14ac:dyDescent="0.5">
      <c r="A531" s="3">
        <v>80</v>
      </c>
      <c r="B531" s="3">
        <v>102</v>
      </c>
      <c r="C531" s="3" t="str">
        <f t="shared" si="8"/>
        <v>Old</v>
      </c>
      <c r="D531" t="s">
        <v>3</v>
      </c>
      <c r="E531" t="s">
        <v>4</v>
      </c>
      <c r="F531" s="1">
        <v>45215</v>
      </c>
      <c r="G531" s="10">
        <v>60388.87</v>
      </c>
      <c r="H531">
        <v>14</v>
      </c>
    </row>
    <row r="532" spans="1:8" x14ac:dyDescent="0.5">
      <c r="A532" s="3">
        <v>405</v>
      </c>
      <c r="B532" s="3">
        <v>45</v>
      </c>
      <c r="C532" s="3" t="str">
        <f t="shared" si="8"/>
        <v>Middle Age</v>
      </c>
      <c r="D532" t="s">
        <v>3</v>
      </c>
      <c r="E532" t="s">
        <v>0</v>
      </c>
      <c r="F532" s="1">
        <v>45253</v>
      </c>
      <c r="G532" s="10">
        <v>68963.070000000007</v>
      </c>
      <c r="H532">
        <v>7</v>
      </c>
    </row>
    <row r="533" spans="1:8" x14ac:dyDescent="0.5">
      <c r="A533" s="3">
        <v>402</v>
      </c>
      <c r="B533" s="3">
        <v>102</v>
      </c>
      <c r="C533" s="3" t="str">
        <f t="shared" si="8"/>
        <v>Old</v>
      </c>
      <c r="D533" t="s">
        <v>5</v>
      </c>
      <c r="E533" t="s">
        <v>0</v>
      </c>
      <c r="F533" s="1">
        <v>44954</v>
      </c>
      <c r="G533" s="10">
        <v>94251.199999999997</v>
      </c>
      <c r="H533">
        <v>28</v>
      </c>
    </row>
    <row r="534" spans="1:8" x14ac:dyDescent="0.5">
      <c r="A534" s="3">
        <v>395</v>
      </c>
      <c r="B534" s="3">
        <v>66</v>
      </c>
      <c r="C534" s="3" t="str">
        <f t="shared" si="8"/>
        <v>Old</v>
      </c>
      <c r="D534" t="s">
        <v>5</v>
      </c>
      <c r="E534" t="s">
        <v>0</v>
      </c>
      <c r="F534" s="1">
        <v>45320</v>
      </c>
      <c r="G534" s="10">
        <v>6261.11</v>
      </c>
      <c r="H534">
        <v>10</v>
      </c>
    </row>
    <row r="535" spans="1:8" x14ac:dyDescent="0.5">
      <c r="A535" s="3">
        <v>1</v>
      </c>
      <c r="B535" s="3">
        <v>84</v>
      </c>
      <c r="C535" s="3" t="str">
        <f t="shared" si="8"/>
        <v>Old</v>
      </c>
      <c r="D535" t="s">
        <v>3</v>
      </c>
      <c r="E535" t="s">
        <v>0</v>
      </c>
      <c r="F535" s="1">
        <v>45058</v>
      </c>
      <c r="G535" s="10">
        <v>61399.81</v>
      </c>
      <c r="H535">
        <v>11</v>
      </c>
    </row>
    <row r="536" spans="1:8" x14ac:dyDescent="0.5">
      <c r="A536" s="3">
        <v>385</v>
      </c>
      <c r="B536" s="3">
        <v>1</v>
      </c>
      <c r="C536" s="3" t="str">
        <f t="shared" si="8"/>
        <v>Young</v>
      </c>
      <c r="D536" t="s">
        <v>5</v>
      </c>
      <c r="E536" t="s">
        <v>6</v>
      </c>
      <c r="F536" s="1">
        <v>45000</v>
      </c>
      <c r="G536" s="10">
        <v>60432.82</v>
      </c>
      <c r="H536">
        <v>29</v>
      </c>
    </row>
    <row r="537" spans="1:8" x14ac:dyDescent="0.5">
      <c r="A537" s="3">
        <v>120</v>
      </c>
      <c r="B537" s="3">
        <v>90</v>
      </c>
      <c r="C537" s="3" t="str">
        <f t="shared" si="8"/>
        <v>Old</v>
      </c>
      <c r="D537" t="s">
        <v>5</v>
      </c>
      <c r="E537" t="s">
        <v>6</v>
      </c>
      <c r="F537" s="1">
        <v>45226</v>
      </c>
      <c r="G537" s="10">
        <v>65276.78</v>
      </c>
      <c r="H537">
        <v>25</v>
      </c>
    </row>
    <row r="538" spans="1:8" x14ac:dyDescent="0.5">
      <c r="A538" s="3">
        <v>119</v>
      </c>
      <c r="B538" s="3">
        <v>1</v>
      </c>
      <c r="C538" s="3" t="str">
        <f t="shared" si="8"/>
        <v>Young</v>
      </c>
      <c r="D538" t="s">
        <v>5</v>
      </c>
      <c r="E538" t="s">
        <v>1</v>
      </c>
      <c r="F538" s="1">
        <v>45240</v>
      </c>
      <c r="G538" s="10">
        <v>71177.22</v>
      </c>
      <c r="H538">
        <v>10</v>
      </c>
    </row>
    <row r="539" spans="1:8" x14ac:dyDescent="0.5">
      <c r="A539" s="3">
        <v>426</v>
      </c>
      <c r="B539" s="3">
        <v>25</v>
      </c>
      <c r="C539" s="3" t="str">
        <f t="shared" si="8"/>
        <v>Young</v>
      </c>
      <c r="D539" t="s">
        <v>3</v>
      </c>
      <c r="E539" t="s">
        <v>4</v>
      </c>
      <c r="F539" s="1">
        <v>45140</v>
      </c>
      <c r="G539" s="10">
        <v>73548.62</v>
      </c>
      <c r="H539">
        <v>1</v>
      </c>
    </row>
    <row r="540" spans="1:8" x14ac:dyDescent="0.5">
      <c r="A540" s="3">
        <v>292</v>
      </c>
      <c r="B540" s="3">
        <v>90</v>
      </c>
      <c r="C540" s="3" t="str">
        <f t="shared" si="8"/>
        <v>Old</v>
      </c>
      <c r="D540" t="s">
        <v>5</v>
      </c>
      <c r="E540" t="s">
        <v>2</v>
      </c>
      <c r="F540" s="1">
        <v>45080</v>
      </c>
      <c r="G540" s="10">
        <v>2672.1</v>
      </c>
      <c r="H540">
        <v>26</v>
      </c>
    </row>
    <row r="541" spans="1:8" x14ac:dyDescent="0.5">
      <c r="A541" s="3">
        <v>342</v>
      </c>
      <c r="B541" s="3">
        <v>23</v>
      </c>
      <c r="C541" s="3" t="str">
        <f t="shared" si="8"/>
        <v>Young</v>
      </c>
      <c r="D541" t="s">
        <v>3</v>
      </c>
      <c r="E541" t="s">
        <v>0</v>
      </c>
      <c r="F541" s="1">
        <v>44994</v>
      </c>
      <c r="G541" s="10">
        <v>85733.41</v>
      </c>
      <c r="H541">
        <v>29</v>
      </c>
    </row>
    <row r="542" spans="1:8" x14ac:dyDescent="0.5">
      <c r="A542" s="3">
        <v>487</v>
      </c>
      <c r="B542" s="3">
        <v>23</v>
      </c>
      <c r="C542" s="3" t="str">
        <f t="shared" si="8"/>
        <v>Young</v>
      </c>
      <c r="D542" t="s">
        <v>3</v>
      </c>
      <c r="E542" t="s">
        <v>0</v>
      </c>
      <c r="F542" s="1">
        <v>45092</v>
      </c>
      <c r="G542" s="10">
        <v>28148.73</v>
      </c>
      <c r="H542">
        <v>16</v>
      </c>
    </row>
    <row r="543" spans="1:8" x14ac:dyDescent="0.5">
      <c r="A543" s="3">
        <v>174</v>
      </c>
      <c r="B543" s="3">
        <v>70</v>
      </c>
      <c r="C543" s="3" t="str">
        <f t="shared" si="8"/>
        <v>Old</v>
      </c>
      <c r="D543" t="s">
        <v>5</v>
      </c>
      <c r="E543" t="s">
        <v>0</v>
      </c>
      <c r="F543" s="1">
        <v>44971</v>
      </c>
      <c r="G543" s="10">
        <v>37661.300000000003</v>
      </c>
      <c r="H543">
        <v>23</v>
      </c>
    </row>
    <row r="544" spans="1:8" x14ac:dyDescent="0.5">
      <c r="A544" s="3">
        <v>345</v>
      </c>
      <c r="B544" s="3">
        <v>88</v>
      </c>
      <c r="C544" s="3" t="str">
        <f t="shared" si="8"/>
        <v>Old</v>
      </c>
      <c r="D544" t="s">
        <v>3</v>
      </c>
      <c r="E544" t="s">
        <v>6</v>
      </c>
      <c r="F544" s="1">
        <v>45292</v>
      </c>
      <c r="G544" s="10">
        <v>26012.73</v>
      </c>
      <c r="H544">
        <v>16</v>
      </c>
    </row>
    <row r="545" spans="1:8" x14ac:dyDescent="0.5">
      <c r="A545" s="3">
        <v>445</v>
      </c>
      <c r="B545" s="3">
        <v>79</v>
      </c>
      <c r="C545" s="3" t="str">
        <f t="shared" si="8"/>
        <v>Old</v>
      </c>
      <c r="D545" t="s">
        <v>5</v>
      </c>
      <c r="E545" t="s">
        <v>2</v>
      </c>
      <c r="F545" s="1">
        <v>45239</v>
      </c>
      <c r="G545" s="10">
        <v>24073.279999999999</v>
      </c>
      <c r="H545">
        <v>23</v>
      </c>
    </row>
    <row r="546" spans="1:8" x14ac:dyDescent="0.5">
      <c r="A546" s="3">
        <v>215</v>
      </c>
      <c r="B546" s="3">
        <v>34</v>
      </c>
      <c r="C546" s="3" t="str">
        <f t="shared" si="8"/>
        <v>Middle Age</v>
      </c>
      <c r="D546" t="s">
        <v>3</v>
      </c>
      <c r="E546" t="s">
        <v>4</v>
      </c>
      <c r="F546" s="1">
        <v>45252</v>
      </c>
      <c r="G546" s="10">
        <v>6506.29</v>
      </c>
      <c r="H546">
        <v>1</v>
      </c>
    </row>
    <row r="547" spans="1:8" x14ac:dyDescent="0.5">
      <c r="A547" s="3">
        <v>88</v>
      </c>
      <c r="B547" s="3">
        <v>86</v>
      </c>
      <c r="C547" s="3" t="str">
        <f t="shared" si="8"/>
        <v>Old</v>
      </c>
      <c r="D547" t="s">
        <v>5</v>
      </c>
      <c r="E547" t="s">
        <v>1</v>
      </c>
      <c r="F547" s="1">
        <v>45011</v>
      </c>
      <c r="G547" s="10">
        <v>56076.69</v>
      </c>
      <c r="H547">
        <v>3</v>
      </c>
    </row>
    <row r="548" spans="1:8" x14ac:dyDescent="0.5">
      <c r="A548" s="3">
        <v>244</v>
      </c>
      <c r="B548" s="3">
        <v>92</v>
      </c>
      <c r="C548" s="3" t="str">
        <f t="shared" si="8"/>
        <v>Old</v>
      </c>
      <c r="D548" t="s">
        <v>5</v>
      </c>
      <c r="E548" t="s">
        <v>6</v>
      </c>
      <c r="F548" s="1">
        <v>44981</v>
      </c>
      <c r="G548" s="10">
        <v>27412.85</v>
      </c>
      <c r="H548">
        <v>23</v>
      </c>
    </row>
    <row r="549" spans="1:8" x14ac:dyDescent="0.5">
      <c r="A549" s="3">
        <v>396</v>
      </c>
      <c r="B549" s="3">
        <v>23</v>
      </c>
      <c r="C549" s="3" t="str">
        <f t="shared" si="8"/>
        <v>Young</v>
      </c>
      <c r="D549" t="s">
        <v>3</v>
      </c>
      <c r="E549" t="s">
        <v>1</v>
      </c>
      <c r="F549" s="1">
        <v>44993</v>
      </c>
      <c r="G549" s="10">
        <v>99256.42</v>
      </c>
      <c r="H549">
        <v>25</v>
      </c>
    </row>
    <row r="550" spans="1:8" x14ac:dyDescent="0.5">
      <c r="A550" s="3">
        <v>377</v>
      </c>
      <c r="B550" s="3">
        <v>25</v>
      </c>
      <c r="C550" s="3" t="str">
        <f t="shared" si="8"/>
        <v>Young</v>
      </c>
      <c r="D550" t="s">
        <v>5</v>
      </c>
      <c r="E550" t="s">
        <v>0</v>
      </c>
      <c r="F550" s="1">
        <v>45045</v>
      </c>
      <c r="G550" s="10">
        <v>4423.54</v>
      </c>
      <c r="H550">
        <v>13</v>
      </c>
    </row>
    <row r="551" spans="1:8" x14ac:dyDescent="0.5">
      <c r="A551" s="3">
        <v>12</v>
      </c>
      <c r="B551" s="3">
        <v>57</v>
      </c>
      <c r="C551" s="3" t="str">
        <f t="shared" si="8"/>
        <v>Old</v>
      </c>
      <c r="D551" t="s">
        <v>3</v>
      </c>
      <c r="E551" t="s">
        <v>2</v>
      </c>
      <c r="F551" s="1">
        <v>45152</v>
      </c>
      <c r="G551" s="10">
        <v>46393.02</v>
      </c>
      <c r="H551">
        <v>14</v>
      </c>
    </row>
    <row r="552" spans="1:8" x14ac:dyDescent="0.5">
      <c r="A552" s="3">
        <v>374</v>
      </c>
      <c r="B552" s="3">
        <v>30</v>
      </c>
      <c r="C552" s="3" t="str">
        <f t="shared" si="8"/>
        <v>Young</v>
      </c>
      <c r="D552" t="s">
        <v>5</v>
      </c>
      <c r="E552" t="s">
        <v>2</v>
      </c>
      <c r="F552" s="1">
        <v>44972</v>
      </c>
      <c r="G552" s="10">
        <v>33704.33</v>
      </c>
      <c r="H552">
        <v>16</v>
      </c>
    </row>
    <row r="553" spans="1:8" x14ac:dyDescent="0.5">
      <c r="A553" s="3">
        <v>407</v>
      </c>
      <c r="B553" s="3">
        <v>90</v>
      </c>
      <c r="C553" s="3" t="str">
        <f t="shared" si="8"/>
        <v>Old</v>
      </c>
      <c r="D553" t="s">
        <v>5</v>
      </c>
      <c r="E553" t="s">
        <v>0</v>
      </c>
      <c r="F553" s="1">
        <v>45044</v>
      </c>
      <c r="G553" s="10">
        <v>26636.39</v>
      </c>
      <c r="H553">
        <v>2</v>
      </c>
    </row>
    <row r="554" spans="1:8" x14ac:dyDescent="0.5">
      <c r="A554" s="3">
        <v>413</v>
      </c>
      <c r="B554" s="3">
        <v>63</v>
      </c>
      <c r="C554" s="3" t="str">
        <f t="shared" si="8"/>
        <v>Old</v>
      </c>
      <c r="D554" t="s">
        <v>5</v>
      </c>
      <c r="E554" t="s">
        <v>2</v>
      </c>
      <c r="F554" s="1">
        <v>45023</v>
      </c>
      <c r="G554" s="10">
        <v>58126.45</v>
      </c>
      <c r="H554">
        <v>24</v>
      </c>
    </row>
    <row r="555" spans="1:8" x14ac:dyDescent="0.5">
      <c r="A555" s="3">
        <v>421</v>
      </c>
      <c r="B555" s="3">
        <v>67</v>
      </c>
      <c r="C555" s="3" t="str">
        <f t="shared" si="8"/>
        <v>Old</v>
      </c>
      <c r="D555" t="s">
        <v>5</v>
      </c>
      <c r="E555" t="s">
        <v>2</v>
      </c>
      <c r="F555" s="1">
        <v>45218</v>
      </c>
      <c r="G555" s="10">
        <v>45990.74</v>
      </c>
      <c r="H555">
        <v>2</v>
      </c>
    </row>
    <row r="556" spans="1:8" x14ac:dyDescent="0.5">
      <c r="A556" s="3">
        <v>323</v>
      </c>
      <c r="B556" s="3">
        <v>23</v>
      </c>
      <c r="C556" s="3" t="str">
        <f t="shared" si="8"/>
        <v>Young</v>
      </c>
      <c r="D556" t="s">
        <v>3</v>
      </c>
      <c r="E556" t="s">
        <v>2</v>
      </c>
      <c r="F556" s="1">
        <v>45215</v>
      </c>
      <c r="G556" s="10">
        <v>16195.35</v>
      </c>
      <c r="H556">
        <v>7</v>
      </c>
    </row>
    <row r="557" spans="1:8" x14ac:dyDescent="0.5">
      <c r="A557" s="3">
        <v>360</v>
      </c>
      <c r="B557" s="3">
        <v>88</v>
      </c>
      <c r="C557" s="3" t="str">
        <f t="shared" si="8"/>
        <v>Old</v>
      </c>
      <c r="D557" t="s">
        <v>5</v>
      </c>
      <c r="E557" t="s">
        <v>1</v>
      </c>
      <c r="F557" s="1">
        <v>45210</v>
      </c>
      <c r="G557" s="10">
        <v>82973.53</v>
      </c>
      <c r="H557">
        <v>22</v>
      </c>
    </row>
    <row r="558" spans="1:8" x14ac:dyDescent="0.5">
      <c r="A558" s="3">
        <v>362</v>
      </c>
      <c r="B558" s="3">
        <v>89</v>
      </c>
      <c r="C558" s="3" t="str">
        <f t="shared" si="8"/>
        <v>Old</v>
      </c>
      <c r="D558" t="s">
        <v>5</v>
      </c>
      <c r="E558" t="s">
        <v>4</v>
      </c>
      <c r="F558" s="1">
        <v>45243</v>
      </c>
      <c r="G558" s="10">
        <v>64919.86</v>
      </c>
      <c r="H558">
        <v>4</v>
      </c>
    </row>
    <row r="559" spans="1:8" x14ac:dyDescent="0.5">
      <c r="A559" s="3">
        <v>311</v>
      </c>
      <c r="B559" s="3">
        <v>63</v>
      </c>
      <c r="C559" s="3" t="str">
        <f t="shared" si="8"/>
        <v>Old</v>
      </c>
      <c r="D559" t="s">
        <v>5</v>
      </c>
      <c r="E559" t="s">
        <v>0</v>
      </c>
      <c r="F559" s="1">
        <v>45292</v>
      </c>
      <c r="G559" s="10">
        <v>5345.12</v>
      </c>
      <c r="H559">
        <v>19</v>
      </c>
    </row>
    <row r="560" spans="1:8" x14ac:dyDescent="0.5">
      <c r="A560" s="3">
        <v>171</v>
      </c>
      <c r="B560" s="3">
        <v>1</v>
      </c>
      <c r="C560" s="3" t="str">
        <f t="shared" si="8"/>
        <v>Young</v>
      </c>
      <c r="D560" t="s">
        <v>3</v>
      </c>
      <c r="E560" t="s">
        <v>1</v>
      </c>
      <c r="F560" s="1">
        <v>45157</v>
      </c>
      <c r="G560" s="10">
        <v>98591.07</v>
      </c>
      <c r="H560">
        <v>0</v>
      </c>
    </row>
    <row r="561" spans="1:8" x14ac:dyDescent="0.5">
      <c r="A561" s="3">
        <v>251</v>
      </c>
      <c r="B561" s="3">
        <v>89</v>
      </c>
      <c r="C561" s="3" t="str">
        <f t="shared" si="8"/>
        <v>Old</v>
      </c>
      <c r="D561" t="s">
        <v>5</v>
      </c>
      <c r="E561" t="s">
        <v>6</v>
      </c>
      <c r="F561" s="1">
        <v>45102</v>
      </c>
      <c r="G561" s="10">
        <v>13796.78</v>
      </c>
      <c r="H561">
        <v>28</v>
      </c>
    </row>
    <row r="562" spans="1:8" x14ac:dyDescent="0.5">
      <c r="A562" s="3">
        <v>167</v>
      </c>
      <c r="B562" s="3">
        <v>102</v>
      </c>
      <c r="C562" s="3" t="str">
        <f t="shared" si="8"/>
        <v>Old</v>
      </c>
      <c r="D562" t="s">
        <v>5</v>
      </c>
      <c r="E562" t="s">
        <v>6</v>
      </c>
      <c r="F562" s="1">
        <v>45083</v>
      </c>
      <c r="G562" s="10">
        <v>40547.879999999997</v>
      </c>
      <c r="H562">
        <v>28</v>
      </c>
    </row>
    <row r="563" spans="1:8" x14ac:dyDescent="0.5">
      <c r="A563" s="3">
        <v>91</v>
      </c>
      <c r="B563" s="3">
        <v>22</v>
      </c>
      <c r="C563" s="3" t="str">
        <f t="shared" si="8"/>
        <v>Young</v>
      </c>
      <c r="D563" t="s">
        <v>5</v>
      </c>
      <c r="E563" t="s">
        <v>0</v>
      </c>
      <c r="F563" s="1">
        <v>45207</v>
      </c>
      <c r="G563" s="10">
        <v>80638.320000000007</v>
      </c>
      <c r="H563">
        <v>24</v>
      </c>
    </row>
    <row r="564" spans="1:8" x14ac:dyDescent="0.5">
      <c r="A564" s="3">
        <v>146</v>
      </c>
      <c r="B564" s="3">
        <v>85</v>
      </c>
      <c r="C564" s="3" t="str">
        <f t="shared" si="8"/>
        <v>Old</v>
      </c>
      <c r="D564" t="s">
        <v>3</v>
      </c>
      <c r="E564" t="s">
        <v>1</v>
      </c>
      <c r="F564" s="1">
        <v>45254</v>
      </c>
      <c r="G564" s="10">
        <v>75678.44</v>
      </c>
      <c r="H564">
        <v>18</v>
      </c>
    </row>
    <row r="565" spans="1:8" x14ac:dyDescent="0.5">
      <c r="A565" s="3">
        <v>145</v>
      </c>
      <c r="B565" s="3">
        <v>68</v>
      </c>
      <c r="C565" s="3" t="str">
        <f t="shared" si="8"/>
        <v>Old</v>
      </c>
      <c r="D565" t="s">
        <v>3</v>
      </c>
      <c r="E565" t="s">
        <v>2</v>
      </c>
      <c r="F565" s="1">
        <v>45222</v>
      </c>
      <c r="G565" s="10">
        <v>54507.56</v>
      </c>
      <c r="H565">
        <v>0</v>
      </c>
    </row>
    <row r="566" spans="1:8" x14ac:dyDescent="0.5">
      <c r="A566" s="3">
        <v>72</v>
      </c>
      <c r="B566" s="3">
        <v>88</v>
      </c>
      <c r="C566" s="3" t="str">
        <f t="shared" si="8"/>
        <v>Old</v>
      </c>
      <c r="D566" t="s">
        <v>5</v>
      </c>
      <c r="E566" t="s">
        <v>2</v>
      </c>
      <c r="F566" s="1">
        <v>45108</v>
      </c>
      <c r="G566" s="10">
        <v>96538.16</v>
      </c>
      <c r="H566">
        <v>14</v>
      </c>
    </row>
    <row r="567" spans="1:8" x14ac:dyDescent="0.5">
      <c r="A567" s="3">
        <v>119</v>
      </c>
      <c r="B567" s="3">
        <v>87</v>
      </c>
      <c r="C567" s="3" t="str">
        <f t="shared" si="8"/>
        <v>Old</v>
      </c>
      <c r="D567" t="s">
        <v>5</v>
      </c>
      <c r="E567" t="s">
        <v>1</v>
      </c>
      <c r="F567" s="1">
        <v>45092</v>
      </c>
      <c r="G567" s="10">
        <v>28661.13</v>
      </c>
      <c r="H567">
        <v>3</v>
      </c>
    </row>
    <row r="568" spans="1:8" x14ac:dyDescent="0.5">
      <c r="A568" s="3">
        <v>57</v>
      </c>
      <c r="B568" s="3">
        <v>35</v>
      </c>
      <c r="C568" s="3" t="str">
        <f t="shared" si="8"/>
        <v>Middle Age</v>
      </c>
      <c r="D568" t="s">
        <v>3</v>
      </c>
      <c r="E568" t="s">
        <v>0</v>
      </c>
      <c r="F568" s="1">
        <v>45202</v>
      </c>
      <c r="G568" s="10">
        <v>53700.12</v>
      </c>
      <c r="H568">
        <v>2</v>
      </c>
    </row>
    <row r="569" spans="1:8" x14ac:dyDescent="0.5">
      <c r="A569" s="3">
        <v>246</v>
      </c>
      <c r="B569" s="3">
        <v>37</v>
      </c>
      <c r="C569" s="3" t="str">
        <f t="shared" si="8"/>
        <v>Middle Age</v>
      </c>
      <c r="D569" t="s">
        <v>5</v>
      </c>
      <c r="E569" t="s">
        <v>1</v>
      </c>
      <c r="F569" s="1">
        <v>45100</v>
      </c>
      <c r="G569" s="10">
        <v>36673.22</v>
      </c>
      <c r="H569">
        <v>28</v>
      </c>
    </row>
    <row r="570" spans="1:8" x14ac:dyDescent="0.5">
      <c r="A570" s="3">
        <v>255</v>
      </c>
      <c r="B570" s="3">
        <v>23</v>
      </c>
      <c r="C570" s="3" t="str">
        <f t="shared" si="8"/>
        <v>Young</v>
      </c>
      <c r="D570" t="s">
        <v>5</v>
      </c>
      <c r="E570" t="s">
        <v>4</v>
      </c>
      <c r="F570" s="1">
        <v>45284</v>
      </c>
      <c r="G570" s="10">
        <v>68513.52</v>
      </c>
      <c r="H570">
        <v>24</v>
      </c>
    </row>
    <row r="571" spans="1:8" x14ac:dyDescent="0.5">
      <c r="A571" s="3">
        <v>175</v>
      </c>
      <c r="B571" s="3">
        <v>95</v>
      </c>
      <c r="C571" s="3" t="str">
        <f t="shared" si="8"/>
        <v>Old</v>
      </c>
      <c r="D571" t="s">
        <v>5</v>
      </c>
      <c r="E571" t="s">
        <v>1</v>
      </c>
      <c r="F571" s="1">
        <v>45018</v>
      </c>
      <c r="G571" s="10">
        <v>99518.18</v>
      </c>
      <c r="H571">
        <v>26</v>
      </c>
    </row>
    <row r="572" spans="1:8" x14ac:dyDescent="0.5">
      <c r="A572" s="3">
        <v>68</v>
      </c>
      <c r="B572" s="3">
        <v>69</v>
      </c>
      <c r="C572" s="3" t="str">
        <f t="shared" si="8"/>
        <v>Old</v>
      </c>
      <c r="D572" t="s">
        <v>5</v>
      </c>
      <c r="E572" t="s">
        <v>1</v>
      </c>
      <c r="F572" s="1">
        <v>45134</v>
      </c>
      <c r="G572" s="10">
        <v>3042.54</v>
      </c>
      <c r="H572">
        <v>4</v>
      </c>
    </row>
    <row r="573" spans="1:8" x14ac:dyDescent="0.5">
      <c r="A573" s="3">
        <v>241</v>
      </c>
      <c r="B573" s="3">
        <v>89</v>
      </c>
      <c r="C573" s="3" t="str">
        <f t="shared" si="8"/>
        <v>Old</v>
      </c>
      <c r="D573" t="s">
        <v>3</v>
      </c>
      <c r="E573" t="s">
        <v>4</v>
      </c>
      <c r="F573" s="1">
        <v>45115</v>
      </c>
      <c r="G573" s="10">
        <v>84886.65</v>
      </c>
      <c r="H573">
        <v>3</v>
      </c>
    </row>
    <row r="574" spans="1:8" x14ac:dyDescent="0.5">
      <c r="A574" s="3">
        <v>216</v>
      </c>
      <c r="B574" s="3">
        <v>46</v>
      </c>
      <c r="C574" s="3" t="str">
        <f t="shared" si="8"/>
        <v>Middle Age</v>
      </c>
      <c r="D574" t="s">
        <v>3</v>
      </c>
      <c r="E574" t="s">
        <v>2</v>
      </c>
      <c r="F574" s="1">
        <v>45304</v>
      </c>
      <c r="G574" s="10">
        <v>54808.75</v>
      </c>
      <c r="H574">
        <v>15</v>
      </c>
    </row>
    <row r="575" spans="1:8" x14ac:dyDescent="0.5">
      <c r="A575" s="3">
        <v>285</v>
      </c>
      <c r="B575" s="3">
        <v>90</v>
      </c>
      <c r="C575" s="3" t="str">
        <f t="shared" si="8"/>
        <v>Old</v>
      </c>
      <c r="D575" t="s">
        <v>3</v>
      </c>
      <c r="E575" t="s">
        <v>2</v>
      </c>
      <c r="F575" s="1">
        <v>44972</v>
      </c>
      <c r="G575" s="10">
        <v>14256.68</v>
      </c>
      <c r="H575">
        <v>4</v>
      </c>
    </row>
    <row r="576" spans="1:8" x14ac:dyDescent="0.5">
      <c r="A576" s="3">
        <v>173</v>
      </c>
      <c r="B576" s="3">
        <v>23</v>
      </c>
      <c r="C576" s="3" t="str">
        <f t="shared" si="8"/>
        <v>Young</v>
      </c>
      <c r="D576" t="s">
        <v>3</v>
      </c>
      <c r="E576" t="s">
        <v>4</v>
      </c>
      <c r="F576" s="1">
        <v>45091</v>
      </c>
      <c r="G576" s="10">
        <v>48164.39</v>
      </c>
      <c r="H576">
        <v>23</v>
      </c>
    </row>
    <row r="577" spans="1:8" x14ac:dyDescent="0.5">
      <c r="A577" s="3">
        <v>293</v>
      </c>
      <c r="B577" s="3">
        <v>64</v>
      </c>
      <c r="C577" s="3" t="str">
        <f t="shared" si="8"/>
        <v>Old</v>
      </c>
      <c r="D577" t="s">
        <v>3</v>
      </c>
      <c r="E577" t="s">
        <v>4</v>
      </c>
      <c r="F577" s="1">
        <v>45049</v>
      </c>
      <c r="G577" s="10">
        <v>98196.59</v>
      </c>
      <c r="H577">
        <v>14</v>
      </c>
    </row>
    <row r="578" spans="1:8" x14ac:dyDescent="0.5">
      <c r="A578" s="3">
        <v>32</v>
      </c>
      <c r="B578" s="3">
        <v>89</v>
      </c>
      <c r="C578" s="3" t="str">
        <f t="shared" ref="C578:C641" si="9">IF(B578&lt;=30,"Young", IF(B578&lt;=55,"Middle Age",IF(B578&gt;55,"Old","Not found")))</f>
        <v>Old</v>
      </c>
      <c r="D578" t="s">
        <v>3</v>
      </c>
      <c r="E578" t="s">
        <v>0</v>
      </c>
      <c r="F578" s="1">
        <v>45087</v>
      </c>
      <c r="G578" s="10">
        <v>57220.18</v>
      </c>
      <c r="H578">
        <v>27</v>
      </c>
    </row>
    <row r="579" spans="1:8" x14ac:dyDescent="0.5">
      <c r="A579" s="3">
        <v>305</v>
      </c>
      <c r="B579" s="3">
        <v>40</v>
      </c>
      <c r="C579" s="3" t="str">
        <f t="shared" si="9"/>
        <v>Middle Age</v>
      </c>
      <c r="D579" t="s">
        <v>5</v>
      </c>
      <c r="E579" t="s">
        <v>0</v>
      </c>
      <c r="F579" s="1">
        <v>45319</v>
      </c>
      <c r="G579" s="10">
        <v>422.98</v>
      </c>
      <c r="H579">
        <v>9</v>
      </c>
    </row>
    <row r="580" spans="1:8" x14ac:dyDescent="0.5">
      <c r="A580" s="3">
        <v>41</v>
      </c>
      <c r="B580" s="3">
        <v>102</v>
      </c>
      <c r="C580" s="3" t="str">
        <f t="shared" si="9"/>
        <v>Old</v>
      </c>
      <c r="D580" t="s">
        <v>3</v>
      </c>
      <c r="E580" t="s">
        <v>2</v>
      </c>
      <c r="F580" s="1">
        <v>45074</v>
      </c>
      <c r="G580" s="10">
        <v>89701.82</v>
      </c>
      <c r="H580">
        <v>2</v>
      </c>
    </row>
    <row r="581" spans="1:8" x14ac:dyDescent="0.5">
      <c r="A581" s="3">
        <v>123</v>
      </c>
      <c r="B581" s="3">
        <v>26</v>
      </c>
      <c r="C581" s="3" t="str">
        <f t="shared" si="9"/>
        <v>Young</v>
      </c>
      <c r="D581" t="s">
        <v>3</v>
      </c>
      <c r="E581" t="s">
        <v>0</v>
      </c>
      <c r="F581" s="1">
        <v>45298</v>
      </c>
      <c r="G581" s="10">
        <v>32244.639999999999</v>
      </c>
      <c r="H581">
        <v>3</v>
      </c>
    </row>
    <row r="582" spans="1:8" x14ac:dyDescent="0.5">
      <c r="A582" s="3">
        <v>406</v>
      </c>
      <c r="B582" s="3">
        <v>49</v>
      </c>
      <c r="C582" s="3" t="str">
        <f t="shared" si="9"/>
        <v>Middle Age</v>
      </c>
      <c r="D582" t="s">
        <v>3</v>
      </c>
      <c r="E582" t="s">
        <v>1</v>
      </c>
      <c r="F582" s="1">
        <v>44993</v>
      </c>
      <c r="G582" s="10">
        <v>93187.27</v>
      </c>
      <c r="H582">
        <v>24</v>
      </c>
    </row>
    <row r="583" spans="1:8" x14ac:dyDescent="0.5">
      <c r="A583" s="3">
        <v>188</v>
      </c>
      <c r="B583" s="3">
        <v>87</v>
      </c>
      <c r="C583" s="3" t="str">
        <f t="shared" si="9"/>
        <v>Old</v>
      </c>
      <c r="D583" t="s">
        <v>3</v>
      </c>
      <c r="E583" t="s">
        <v>0</v>
      </c>
      <c r="F583" s="1">
        <v>45144</v>
      </c>
      <c r="G583" s="10">
        <v>42506.91</v>
      </c>
      <c r="H583">
        <v>3</v>
      </c>
    </row>
    <row r="584" spans="1:8" x14ac:dyDescent="0.5">
      <c r="A584" s="3">
        <v>256</v>
      </c>
      <c r="B584" s="3">
        <v>78</v>
      </c>
      <c r="C584" s="3" t="str">
        <f t="shared" si="9"/>
        <v>Old</v>
      </c>
      <c r="D584" t="s">
        <v>5</v>
      </c>
      <c r="E584" t="s">
        <v>4</v>
      </c>
      <c r="F584" s="1">
        <v>44944</v>
      </c>
      <c r="G584" s="10">
        <v>60764.88</v>
      </c>
      <c r="H584">
        <v>14</v>
      </c>
    </row>
    <row r="585" spans="1:8" x14ac:dyDescent="0.5">
      <c r="A585" s="3">
        <v>321</v>
      </c>
      <c r="B585" s="3">
        <v>51</v>
      </c>
      <c r="C585" s="3" t="str">
        <f t="shared" si="9"/>
        <v>Middle Age</v>
      </c>
      <c r="D585" t="s">
        <v>3</v>
      </c>
      <c r="E585" t="s">
        <v>6</v>
      </c>
      <c r="F585" s="1">
        <v>45017</v>
      </c>
      <c r="G585" s="10">
        <v>26410.240000000002</v>
      </c>
      <c r="H585">
        <v>10</v>
      </c>
    </row>
    <row r="586" spans="1:8" x14ac:dyDescent="0.5">
      <c r="A586" s="3">
        <v>29</v>
      </c>
      <c r="B586" s="3">
        <v>29</v>
      </c>
      <c r="C586" s="3" t="str">
        <f t="shared" si="9"/>
        <v>Young</v>
      </c>
      <c r="D586" t="s">
        <v>5</v>
      </c>
      <c r="E586" t="s">
        <v>6</v>
      </c>
      <c r="F586" s="1">
        <v>44967</v>
      </c>
      <c r="G586" s="10">
        <v>63918.74</v>
      </c>
      <c r="H586">
        <v>19</v>
      </c>
    </row>
    <row r="587" spans="1:8" x14ac:dyDescent="0.5">
      <c r="A587" s="3">
        <v>8</v>
      </c>
      <c r="B587" s="3">
        <v>88</v>
      </c>
      <c r="C587" s="3" t="str">
        <f t="shared" si="9"/>
        <v>Old</v>
      </c>
      <c r="D587" t="s">
        <v>3</v>
      </c>
      <c r="E587" t="s">
        <v>1</v>
      </c>
      <c r="F587" s="1">
        <v>45140</v>
      </c>
      <c r="G587" s="10">
        <v>62450.35</v>
      </c>
      <c r="H587">
        <v>15</v>
      </c>
    </row>
    <row r="588" spans="1:8" x14ac:dyDescent="0.5">
      <c r="A588" s="3">
        <v>44</v>
      </c>
      <c r="B588" s="3">
        <v>24</v>
      </c>
      <c r="C588" s="3" t="str">
        <f t="shared" si="9"/>
        <v>Young</v>
      </c>
      <c r="D588" t="s">
        <v>5</v>
      </c>
      <c r="E588" t="s">
        <v>4</v>
      </c>
      <c r="F588" s="1">
        <v>45119</v>
      </c>
      <c r="G588" s="10">
        <v>23341.52</v>
      </c>
      <c r="H588">
        <v>18</v>
      </c>
    </row>
    <row r="589" spans="1:8" x14ac:dyDescent="0.5">
      <c r="A589" s="3">
        <v>347</v>
      </c>
      <c r="B589" s="3">
        <v>55</v>
      </c>
      <c r="C589" s="3" t="str">
        <f t="shared" si="9"/>
        <v>Middle Age</v>
      </c>
      <c r="D589" t="s">
        <v>5</v>
      </c>
      <c r="E589" t="s">
        <v>6</v>
      </c>
      <c r="F589" s="1">
        <v>45268</v>
      </c>
      <c r="G589" s="10">
        <v>13883.29</v>
      </c>
      <c r="H589">
        <v>21</v>
      </c>
    </row>
    <row r="590" spans="1:8" x14ac:dyDescent="0.5">
      <c r="A590" s="3">
        <v>333</v>
      </c>
      <c r="B590" s="3">
        <v>82</v>
      </c>
      <c r="C590" s="3" t="str">
        <f t="shared" si="9"/>
        <v>Old</v>
      </c>
      <c r="D590" t="s">
        <v>3</v>
      </c>
      <c r="E590" t="s">
        <v>2</v>
      </c>
      <c r="F590" s="1">
        <v>45024</v>
      </c>
      <c r="G590" s="10">
        <v>60105.23</v>
      </c>
      <c r="H590">
        <v>18</v>
      </c>
    </row>
    <row r="591" spans="1:8" x14ac:dyDescent="0.5">
      <c r="A591" s="3">
        <v>322</v>
      </c>
      <c r="B591" s="3">
        <v>23</v>
      </c>
      <c r="C591" s="3" t="str">
        <f t="shared" si="9"/>
        <v>Young</v>
      </c>
      <c r="D591" t="s">
        <v>5</v>
      </c>
      <c r="E591" t="s">
        <v>6</v>
      </c>
      <c r="F591" s="1">
        <v>45087</v>
      </c>
      <c r="G591" s="10">
        <v>49468.91</v>
      </c>
      <c r="H591">
        <v>17</v>
      </c>
    </row>
    <row r="592" spans="1:8" x14ac:dyDescent="0.5">
      <c r="A592" s="3">
        <v>214</v>
      </c>
      <c r="B592" s="3">
        <v>36</v>
      </c>
      <c r="C592" s="3" t="str">
        <f t="shared" si="9"/>
        <v>Middle Age</v>
      </c>
      <c r="D592" t="s">
        <v>5</v>
      </c>
      <c r="E592" t="s">
        <v>2</v>
      </c>
      <c r="F592" s="1">
        <v>45200</v>
      </c>
      <c r="G592" s="10">
        <v>93468.74</v>
      </c>
      <c r="H592">
        <v>16</v>
      </c>
    </row>
    <row r="593" spans="1:8" x14ac:dyDescent="0.5">
      <c r="A593" s="3">
        <v>90</v>
      </c>
      <c r="B593" s="3">
        <v>61</v>
      </c>
      <c r="C593" s="3" t="str">
        <f t="shared" si="9"/>
        <v>Old</v>
      </c>
      <c r="D593" t="s">
        <v>3</v>
      </c>
      <c r="E593" t="s">
        <v>0</v>
      </c>
      <c r="F593" s="1">
        <v>45122</v>
      </c>
      <c r="G593" s="10">
        <v>87218.08</v>
      </c>
      <c r="H593">
        <v>22</v>
      </c>
    </row>
    <row r="594" spans="1:8" x14ac:dyDescent="0.5">
      <c r="A594" s="3">
        <v>181</v>
      </c>
      <c r="B594" s="3">
        <v>77</v>
      </c>
      <c r="C594" s="3" t="str">
        <f t="shared" si="9"/>
        <v>Old</v>
      </c>
      <c r="D594" t="s">
        <v>3</v>
      </c>
      <c r="E594" t="s">
        <v>0</v>
      </c>
      <c r="F594" s="1">
        <v>45171</v>
      </c>
      <c r="G594" s="10">
        <v>27550.02</v>
      </c>
      <c r="H594">
        <v>14</v>
      </c>
    </row>
    <row r="595" spans="1:8" x14ac:dyDescent="0.5">
      <c r="A595" s="3">
        <v>498</v>
      </c>
      <c r="B595" s="3">
        <v>23</v>
      </c>
      <c r="C595" s="3" t="str">
        <f t="shared" si="9"/>
        <v>Young</v>
      </c>
      <c r="D595" t="s">
        <v>5</v>
      </c>
      <c r="E595" t="s">
        <v>6</v>
      </c>
      <c r="F595" s="1">
        <v>45019</v>
      </c>
      <c r="G595" s="10">
        <v>11424.04</v>
      </c>
      <c r="H595">
        <v>21</v>
      </c>
    </row>
    <row r="596" spans="1:8" x14ac:dyDescent="0.5">
      <c r="A596" s="3">
        <v>90</v>
      </c>
      <c r="B596" s="3">
        <v>1</v>
      </c>
      <c r="C596" s="3" t="str">
        <f t="shared" si="9"/>
        <v>Young</v>
      </c>
      <c r="D596" t="s">
        <v>3</v>
      </c>
      <c r="E596" t="s">
        <v>2</v>
      </c>
      <c r="F596" s="1">
        <v>45108</v>
      </c>
      <c r="G596" s="10">
        <v>35001.230000000003</v>
      </c>
      <c r="H596">
        <v>1</v>
      </c>
    </row>
    <row r="597" spans="1:8" x14ac:dyDescent="0.5">
      <c r="A597" s="3">
        <v>379</v>
      </c>
      <c r="B597" s="3">
        <v>23</v>
      </c>
      <c r="C597" s="3" t="str">
        <f t="shared" si="9"/>
        <v>Young</v>
      </c>
      <c r="D597" t="s">
        <v>5</v>
      </c>
      <c r="E597" t="s">
        <v>6</v>
      </c>
      <c r="F597" s="1">
        <v>45074</v>
      </c>
      <c r="G597" s="10">
        <v>78506.78</v>
      </c>
      <c r="H597">
        <v>12</v>
      </c>
    </row>
    <row r="598" spans="1:8" x14ac:dyDescent="0.5">
      <c r="A598" s="3">
        <v>22</v>
      </c>
      <c r="B598" s="3">
        <v>75</v>
      </c>
      <c r="C598" s="3" t="str">
        <f t="shared" si="9"/>
        <v>Old</v>
      </c>
      <c r="D598" t="s">
        <v>5</v>
      </c>
      <c r="E598" t="s">
        <v>0</v>
      </c>
      <c r="F598" s="1">
        <v>45176</v>
      </c>
      <c r="G598" s="10">
        <v>45519.49</v>
      </c>
      <c r="H598">
        <v>8</v>
      </c>
    </row>
    <row r="599" spans="1:8" x14ac:dyDescent="0.5">
      <c r="A599" s="3">
        <v>103</v>
      </c>
      <c r="B599" s="3">
        <v>65</v>
      </c>
      <c r="C599" s="3" t="str">
        <f t="shared" si="9"/>
        <v>Old</v>
      </c>
      <c r="D599" t="s">
        <v>5</v>
      </c>
      <c r="E599" t="s">
        <v>0</v>
      </c>
      <c r="F599" s="1">
        <v>45007</v>
      </c>
      <c r="G599" s="10">
        <v>56668.62</v>
      </c>
      <c r="H599">
        <v>19</v>
      </c>
    </row>
    <row r="600" spans="1:8" x14ac:dyDescent="0.5">
      <c r="A600" s="3">
        <v>108</v>
      </c>
      <c r="B600" s="3">
        <v>88</v>
      </c>
      <c r="C600" s="3" t="str">
        <f t="shared" si="9"/>
        <v>Old</v>
      </c>
      <c r="D600" t="s">
        <v>5</v>
      </c>
      <c r="E600" t="s">
        <v>6</v>
      </c>
      <c r="F600" s="1">
        <v>44950</v>
      </c>
      <c r="G600" s="10">
        <v>87976.93</v>
      </c>
      <c r="H600">
        <v>14</v>
      </c>
    </row>
    <row r="601" spans="1:8" x14ac:dyDescent="0.5">
      <c r="A601" s="3">
        <v>166</v>
      </c>
      <c r="B601" s="3">
        <v>56</v>
      </c>
      <c r="C601" s="3" t="str">
        <f t="shared" si="9"/>
        <v>Old</v>
      </c>
      <c r="D601" t="s">
        <v>5</v>
      </c>
      <c r="E601" t="s">
        <v>6</v>
      </c>
      <c r="F601" s="1">
        <v>44956</v>
      </c>
      <c r="G601" s="10">
        <v>7858.85</v>
      </c>
      <c r="H601">
        <v>28</v>
      </c>
    </row>
    <row r="602" spans="1:8" x14ac:dyDescent="0.5">
      <c r="A602" s="3">
        <v>282</v>
      </c>
      <c r="B602" s="3">
        <v>83</v>
      </c>
      <c r="C602" s="3" t="str">
        <f t="shared" si="9"/>
        <v>Old</v>
      </c>
      <c r="D602" t="s">
        <v>3</v>
      </c>
      <c r="E602" t="s">
        <v>2</v>
      </c>
      <c r="F602" s="1">
        <v>45201</v>
      </c>
      <c r="G602" s="10">
        <v>28990.29</v>
      </c>
      <c r="H602">
        <v>0</v>
      </c>
    </row>
    <row r="603" spans="1:8" x14ac:dyDescent="0.5">
      <c r="A603" s="3">
        <v>383</v>
      </c>
      <c r="B603" s="3">
        <v>32</v>
      </c>
      <c r="C603" s="3" t="str">
        <f t="shared" si="9"/>
        <v>Middle Age</v>
      </c>
      <c r="D603" t="s">
        <v>5</v>
      </c>
      <c r="E603" t="s">
        <v>0</v>
      </c>
      <c r="F603" s="1">
        <v>45165</v>
      </c>
      <c r="G603" s="10">
        <v>46158.19</v>
      </c>
      <c r="H603">
        <v>25</v>
      </c>
    </row>
    <row r="604" spans="1:8" x14ac:dyDescent="0.5">
      <c r="A604" s="3">
        <v>69</v>
      </c>
      <c r="B604" s="3">
        <v>71</v>
      </c>
      <c r="C604" s="3" t="str">
        <f t="shared" si="9"/>
        <v>Old</v>
      </c>
      <c r="D604" t="s">
        <v>3</v>
      </c>
      <c r="E604" t="s">
        <v>0</v>
      </c>
      <c r="F604" s="1">
        <v>45006</v>
      </c>
      <c r="G604" s="10">
        <v>19708.580000000002</v>
      </c>
      <c r="H604">
        <v>0</v>
      </c>
    </row>
    <row r="605" spans="1:8" x14ac:dyDescent="0.5">
      <c r="A605" s="3">
        <v>414</v>
      </c>
      <c r="B605" s="3">
        <v>88</v>
      </c>
      <c r="C605" s="3" t="str">
        <f t="shared" si="9"/>
        <v>Old</v>
      </c>
      <c r="D605" t="s">
        <v>5</v>
      </c>
      <c r="E605" t="s">
        <v>6</v>
      </c>
      <c r="F605" s="1">
        <v>45032</v>
      </c>
      <c r="G605" s="10">
        <v>35556.6</v>
      </c>
      <c r="H605">
        <v>29</v>
      </c>
    </row>
    <row r="606" spans="1:8" x14ac:dyDescent="0.5">
      <c r="A606" s="3">
        <v>33</v>
      </c>
      <c r="B606" s="3">
        <v>23</v>
      </c>
      <c r="C606" s="3" t="str">
        <f t="shared" si="9"/>
        <v>Young</v>
      </c>
      <c r="D606" t="s">
        <v>5</v>
      </c>
      <c r="E606" t="s">
        <v>6</v>
      </c>
      <c r="F606" s="1">
        <v>44949</v>
      </c>
      <c r="G606" s="10">
        <v>98253.47</v>
      </c>
      <c r="H606">
        <v>21</v>
      </c>
    </row>
    <row r="607" spans="1:8" x14ac:dyDescent="0.5">
      <c r="A607" s="3">
        <v>471</v>
      </c>
      <c r="B607" s="3">
        <v>33</v>
      </c>
      <c r="C607" s="3" t="str">
        <f t="shared" si="9"/>
        <v>Middle Age</v>
      </c>
      <c r="D607" t="s">
        <v>5</v>
      </c>
      <c r="E607" t="s">
        <v>4</v>
      </c>
      <c r="F607" s="1">
        <v>45286</v>
      </c>
      <c r="G607" s="10">
        <v>69577.279999999999</v>
      </c>
      <c r="H607">
        <v>20</v>
      </c>
    </row>
    <row r="608" spans="1:8" x14ac:dyDescent="0.5">
      <c r="A608" s="3">
        <v>227</v>
      </c>
      <c r="B608" s="3">
        <v>36</v>
      </c>
      <c r="C608" s="3" t="str">
        <f t="shared" si="9"/>
        <v>Middle Age</v>
      </c>
      <c r="D608" t="s">
        <v>3</v>
      </c>
      <c r="E608" t="s">
        <v>0</v>
      </c>
      <c r="F608" s="1">
        <v>44938</v>
      </c>
      <c r="G608" s="10">
        <v>33746.83</v>
      </c>
      <c r="H608">
        <v>2</v>
      </c>
    </row>
    <row r="609" spans="1:8" x14ac:dyDescent="0.5">
      <c r="A609" s="3">
        <v>11</v>
      </c>
      <c r="B609" s="3">
        <v>64</v>
      </c>
      <c r="C609" s="3" t="str">
        <f t="shared" si="9"/>
        <v>Old</v>
      </c>
      <c r="D609" t="s">
        <v>3</v>
      </c>
      <c r="E609" t="s">
        <v>0</v>
      </c>
      <c r="F609" s="1">
        <v>45155</v>
      </c>
      <c r="G609" s="10">
        <v>71558.460000000006</v>
      </c>
      <c r="H609">
        <v>12</v>
      </c>
    </row>
    <row r="610" spans="1:8" x14ac:dyDescent="0.5">
      <c r="A610" s="3">
        <v>334</v>
      </c>
      <c r="B610" s="3">
        <v>40</v>
      </c>
      <c r="C610" s="3" t="str">
        <f t="shared" si="9"/>
        <v>Middle Age</v>
      </c>
      <c r="D610" t="s">
        <v>5</v>
      </c>
      <c r="E610" t="s">
        <v>2</v>
      </c>
      <c r="F610" s="1">
        <v>44952</v>
      </c>
      <c r="G610" s="10">
        <v>82457.119999999995</v>
      </c>
      <c r="H610">
        <v>5</v>
      </c>
    </row>
    <row r="611" spans="1:8" x14ac:dyDescent="0.5">
      <c r="A611" s="3">
        <v>164</v>
      </c>
      <c r="B611" s="3">
        <v>91</v>
      </c>
      <c r="C611" s="3" t="str">
        <f t="shared" si="9"/>
        <v>Old</v>
      </c>
      <c r="D611" t="s">
        <v>5</v>
      </c>
      <c r="E611" t="s">
        <v>4</v>
      </c>
      <c r="F611" s="1">
        <v>44985</v>
      </c>
      <c r="G611" s="10">
        <v>10255.81</v>
      </c>
      <c r="H611">
        <v>28</v>
      </c>
    </row>
    <row r="612" spans="1:8" x14ac:dyDescent="0.5">
      <c r="A612" s="3">
        <v>418</v>
      </c>
      <c r="B612" s="3">
        <v>23</v>
      </c>
      <c r="C612" s="3" t="str">
        <f t="shared" si="9"/>
        <v>Young</v>
      </c>
      <c r="D612" t="s">
        <v>3</v>
      </c>
      <c r="E612" t="s">
        <v>4</v>
      </c>
      <c r="F612" s="1">
        <v>45274</v>
      </c>
      <c r="G612" s="10">
        <v>38365.449999999997</v>
      </c>
      <c r="H612">
        <v>26</v>
      </c>
    </row>
    <row r="613" spans="1:8" x14ac:dyDescent="0.5">
      <c r="A613" s="3">
        <v>39</v>
      </c>
      <c r="B613" s="3">
        <v>23</v>
      </c>
      <c r="C613" s="3" t="str">
        <f t="shared" si="9"/>
        <v>Young</v>
      </c>
      <c r="D613" t="s">
        <v>3</v>
      </c>
      <c r="E613" t="s">
        <v>0</v>
      </c>
      <c r="F613" s="1">
        <v>45039</v>
      </c>
      <c r="G613" s="10">
        <v>50492.33</v>
      </c>
      <c r="H613">
        <v>13</v>
      </c>
    </row>
    <row r="614" spans="1:8" x14ac:dyDescent="0.5">
      <c r="A614" s="3">
        <v>360</v>
      </c>
      <c r="B614" s="3">
        <v>23</v>
      </c>
      <c r="C614" s="3" t="str">
        <f t="shared" si="9"/>
        <v>Young</v>
      </c>
      <c r="D614" t="s">
        <v>5</v>
      </c>
      <c r="E614" t="s">
        <v>6</v>
      </c>
      <c r="F614" s="1">
        <v>45088</v>
      </c>
      <c r="G614" s="10">
        <v>86641.52</v>
      </c>
      <c r="H614">
        <v>14</v>
      </c>
    </row>
    <row r="615" spans="1:8" x14ac:dyDescent="0.5">
      <c r="A615" s="3">
        <v>113</v>
      </c>
      <c r="B615" s="3">
        <v>91</v>
      </c>
      <c r="C615" s="3" t="str">
        <f t="shared" si="9"/>
        <v>Old</v>
      </c>
      <c r="D615" t="s">
        <v>3</v>
      </c>
      <c r="E615" t="s">
        <v>0</v>
      </c>
      <c r="F615" s="1">
        <v>45263</v>
      </c>
      <c r="G615" s="10">
        <v>27053.77</v>
      </c>
      <c r="H615">
        <v>8</v>
      </c>
    </row>
    <row r="616" spans="1:8" x14ac:dyDescent="0.5">
      <c r="A616" s="3">
        <v>453</v>
      </c>
      <c r="B616" s="3">
        <v>23</v>
      </c>
      <c r="C616" s="3" t="str">
        <f t="shared" si="9"/>
        <v>Young</v>
      </c>
      <c r="D616" t="s">
        <v>5</v>
      </c>
      <c r="E616" t="s">
        <v>0</v>
      </c>
      <c r="F616" s="1">
        <v>45140</v>
      </c>
      <c r="G616" s="10">
        <v>87751.58</v>
      </c>
      <c r="H616">
        <v>13</v>
      </c>
    </row>
    <row r="617" spans="1:8" x14ac:dyDescent="0.5">
      <c r="A617" s="3">
        <v>408</v>
      </c>
      <c r="B617" s="3">
        <v>97</v>
      </c>
      <c r="C617" s="3" t="str">
        <f t="shared" si="9"/>
        <v>Old</v>
      </c>
      <c r="D617" t="s">
        <v>5</v>
      </c>
      <c r="E617" t="s">
        <v>0</v>
      </c>
      <c r="F617" s="1">
        <v>45061</v>
      </c>
      <c r="G617" s="10">
        <v>66058.179999999993</v>
      </c>
      <c r="H617">
        <v>17</v>
      </c>
    </row>
    <row r="618" spans="1:8" x14ac:dyDescent="0.5">
      <c r="A618" s="3">
        <v>1</v>
      </c>
      <c r="B618" s="3">
        <v>23</v>
      </c>
      <c r="C618" s="3" t="str">
        <f t="shared" si="9"/>
        <v>Young</v>
      </c>
      <c r="D618" t="s">
        <v>5</v>
      </c>
      <c r="E618" t="s">
        <v>4</v>
      </c>
      <c r="F618" s="1">
        <v>45141</v>
      </c>
      <c r="G618" s="10">
        <v>1723.67</v>
      </c>
      <c r="H618">
        <v>29</v>
      </c>
    </row>
    <row r="619" spans="1:8" x14ac:dyDescent="0.5">
      <c r="A619" s="3">
        <v>458</v>
      </c>
      <c r="B619" s="3">
        <v>78</v>
      </c>
      <c r="C619" s="3" t="str">
        <f t="shared" si="9"/>
        <v>Old</v>
      </c>
      <c r="D619" t="s">
        <v>3</v>
      </c>
      <c r="E619" t="s">
        <v>4</v>
      </c>
      <c r="F619" s="1">
        <v>45299</v>
      </c>
      <c r="G619" s="10">
        <v>40279.629999999997</v>
      </c>
      <c r="H619">
        <v>3</v>
      </c>
    </row>
    <row r="620" spans="1:8" x14ac:dyDescent="0.5">
      <c r="A620" s="3">
        <v>263</v>
      </c>
      <c r="B620" s="3">
        <v>23</v>
      </c>
      <c r="C620" s="3" t="str">
        <f t="shared" si="9"/>
        <v>Young</v>
      </c>
      <c r="D620" t="s">
        <v>3</v>
      </c>
      <c r="E620" t="s">
        <v>2</v>
      </c>
      <c r="F620" s="1">
        <v>45071</v>
      </c>
      <c r="G620" s="10">
        <v>15720.82</v>
      </c>
      <c r="H620">
        <v>2</v>
      </c>
    </row>
    <row r="621" spans="1:8" x14ac:dyDescent="0.5">
      <c r="A621" s="3">
        <v>402</v>
      </c>
      <c r="B621" s="3">
        <v>65</v>
      </c>
      <c r="C621" s="3" t="str">
        <f t="shared" si="9"/>
        <v>Old</v>
      </c>
      <c r="D621" t="s">
        <v>3</v>
      </c>
      <c r="E621" t="s">
        <v>0</v>
      </c>
      <c r="F621" s="1">
        <v>45045</v>
      </c>
      <c r="G621" s="10">
        <v>85381.09</v>
      </c>
      <c r="H621">
        <v>21</v>
      </c>
    </row>
    <row r="622" spans="1:8" x14ac:dyDescent="0.5">
      <c r="A622" s="3">
        <v>259</v>
      </c>
      <c r="B622" s="3">
        <v>23</v>
      </c>
      <c r="C622" s="3" t="str">
        <f t="shared" si="9"/>
        <v>Young</v>
      </c>
      <c r="D622" t="s">
        <v>3</v>
      </c>
      <c r="E622" t="s">
        <v>0</v>
      </c>
      <c r="F622" s="1">
        <v>45083</v>
      </c>
      <c r="G622" s="10">
        <v>16477.439999999999</v>
      </c>
      <c r="H622">
        <v>27</v>
      </c>
    </row>
    <row r="623" spans="1:8" x14ac:dyDescent="0.5">
      <c r="A623" s="3">
        <v>15</v>
      </c>
      <c r="B623" s="3">
        <v>88</v>
      </c>
      <c r="C623" s="3" t="str">
        <f t="shared" si="9"/>
        <v>Old</v>
      </c>
      <c r="D623" t="s">
        <v>5</v>
      </c>
      <c r="E623" t="s">
        <v>0</v>
      </c>
      <c r="F623" s="1">
        <v>44998</v>
      </c>
      <c r="G623" s="10">
        <v>3388.44</v>
      </c>
      <c r="H623">
        <v>28</v>
      </c>
    </row>
    <row r="624" spans="1:8" x14ac:dyDescent="0.5">
      <c r="A624" s="3">
        <v>323</v>
      </c>
      <c r="B624" s="3">
        <v>72</v>
      </c>
      <c r="C624" s="3" t="str">
        <f t="shared" si="9"/>
        <v>Old</v>
      </c>
      <c r="D624" t="s">
        <v>5</v>
      </c>
      <c r="E624" t="s">
        <v>0</v>
      </c>
      <c r="F624" s="1">
        <v>45287</v>
      </c>
      <c r="G624" s="10">
        <v>30209.15</v>
      </c>
      <c r="H624">
        <v>13</v>
      </c>
    </row>
    <row r="625" spans="1:8" x14ac:dyDescent="0.5">
      <c r="A625" s="3">
        <v>288</v>
      </c>
      <c r="B625" s="3">
        <v>47</v>
      </c>
      <c r="C625" s="3" t="str">
        <f t="shared" si="9"/>
        <v>Middle Age</v>
      </c>
      <c r="D625" t="s">
        <v>3</v>
      </c>
      <c r="E625" t="s">
        <v>0</v>
      </c>
      <c r="F625" s="1">
        <v>44989</v>
      </c>
      <c r="G625" s="10">
        <v>98093.84</v>
      </c>
      <c r="H625">
        <v>20</v>
      </c>
    </row>
    <row r="626" spans="1:8" x14ac:dyDescent="0.5">
      <c r="A626" s="3">
        <v>393</v>
      </c>
      <c r="B626" s="3">
        <v>23</v>
      </c>
      <c r="C626" s="3" t="str">
        <f t="shared" si="9"/>
        <v>Young</v>
      </c>
      <c r="D626" t="s">
        <v>5</v>
      </c>
      <c r="E626" t="s">
        <v>1</v>
      </c>
      <c r="F626" s="1">
        <v>45239</v>
      </c>
      <c r="G626" s="10">
        <v>94041.17</v>
      </c>
      <c r="H626">
        <v>22</v>
      </c>
    </row>
    <row r="627" spans="1:8" x14ac:dyDescent="0.5">
      <c r="A627" s="3">
        <v>78</v>
      </c>
      <c r="B627" s="3">
        <v>88</v>
      </c>
      <c r="C627" s="3" t="str">
        <f t="shared" si="9"/>
        <v>Old</v>
      </c>
      <c r="D627" t="s">
        <v>5</v>
      </c>
      <c r="E627" t="s">
        <v>1</v>
      </c>
      <c r="F627" s="1">
        <v>45182</v>
      </c>
      <c r="G627" s="10">
        <v>37201.56</v>
      </c>
      <c r="H627">
        <v>23</v>
      </c>
    </row>
    <row r="628" spans="1:8" x14ac:dyDescent="0.5">
      <c r="A628" s="3">
        <v>170</v>
      </c>
      <c r="B628" s="3">
        <v>76</v>
      </c>
      <c r="C628" s="3" t="str">
        <f t="shared" si="9"/>
        <v>Old</v>
      </c>
      <c r="D628" t="s">
        <v>3</v>
      </c>
      <c r="E628" t="s">
        <v>6</v>
      </c>
      <c r="F628" s="1">
        <v>45163</v>
      </c>
      <c r="G628" s="10">
        <v>22296.93</v>
      </c>
      <c r="H628">
        <v>1</v>
      </c>
    </row>
    <row r="629" spans="1:8" x14ac:dyDescent="0.5">
      <c r="A629" s="3">
        <v>155</v>
      </c>
      <c r="B629" s="3">
        <v>61</v>
      </c>
      <c r="C629" s="3" t="str">
        <f t="shared" si="9"/>
        <v>Old</v>
      </c>
      <c r="D629" t="s">
        <v>5</v>
      </c>
      <c r="E629" t="s">
        <v>0</v>
      </c>
      <c r="F629" s="1">
        <v>44993</v>
      </c>
      <c r="G629" s="10">
        <v>71480.86</v>
      </c>
      <c r="H629">
        <v>26</v>
      </c>
    </row>
    <row r="630" spans="1:8" x14ac:dyDescent="0.5">
      <c r="A630" s="3">
        <v>104</v>
      </c>
      <c r="B630" s="3">
        <v>59</v>
      </c>
      <c r="C630" s="3" t="str">
        <f t="shared" si="9"/>
        <v>Old</v>
      </c>
      <c r="D630" t="s">
        <v>5</v>
      </c>
      <c r="E630" t="s">
        <v>0</v>
      </c>
      <c r="F630" s="1">
        <v>45148</v>
      </c>
      <c r="G630" s="10">
        <v>97865.61</v>
      </c>
      <c r="H630">
        <v>23</v>
      </c>
    </row>
    <row r="631" spans="1:8" x14ac:dyDescent="0.5">
      <c r="A631" s="3">
        <v>275</v>
      </c>
      <c r="B631" s="3">
        <v>23</v>
      </c>
      <c r="C631" s="3" t="str">
        <f t="shared" si="9"/>
        <v>Young</v>
      </c>
      <c r="D631" t="s">
        <v>5</v>
      </c>
      <c r="E631" t="s">
        <v>2</v>
      </c>
      <c r="F631" s="1">
        <v>45053</v>
      </c>
      <c r="G631" s="10">
        <v>11832.63</v>
      </c>
      <c r="H631">
        <v>29</v>
      </c>
    </row>
    <row r="632" spans="1:8" x14ac:dyDescent="0.5">
      <c r="A632" s="3">
        <v>341</v>
      </c>
      <c r="B632" s="3">
        <v>88</v>
      </c>
      <c r="C632" s="3" t="str">
        <f t="shared" si="9"/>
        <v>Old</v>
      </c>
      <c r="D632" t="s">
        <v>3</v>
      </c>
      <c r="E632" t="s">
        <v>4</v>
      </c>
      <c r="F632" s="1">
        <v>44951</v>
      </c>
      <c r="G632" s="10">
        <v>20237.34</v>
      </c>
      <c r="H632">
        <v>5</v>
      </c>
    </row>
    <row r="633" spans="1:8" x14ac:dyDescent="0.5">
      <c r="A633" s="3">
        <v>24</v>
      </c>
      <c r="B633" s="3">
        <v>68</v>
      </c>
      <c r="C633" s="3" t="str">
        <f t="shared" si="9"/>
        <v>Old</v>
      </c>
      <c r="D633" t="s">
        <v>5</v>
      </c>
      <c r="E633" t="s">
        <v>1</v>
      </c>
      <c r="F633" s="1">
        <v>44967</v>
      </c>
      <c r="G633" s="10">
        <v>96275.02</v>
      </c>
      <c r="H633">
        <v>12</v>
      </c>
    </row>
    <row r="634" spans="1:8" x14ac:dyDescent="0.5">
      <c r="A634" s="3">
        <v>184</v>
      </c>
      <c r="B634" s="3">
        <v>31</v>
      </c>
      <c r="C634" s="3" t="str">
        <f t="shared" si="9"/>
        <v>Middle Age</v>
      </c>
      <c r="D634" t="s">
        <v>3</v>
      </c>
      <c r="E634" t="s">
        <v>2</v>
      </c>
      <c r="F634" s="1">
        <v>45035</v>
      </c>
      <c r="G634" s="10">
        <v>30132.22</v>
      </c>
      <c r="H634">
        <v>4</v>
      </c>
    </row>
    <row r="635" spans="1:8" x14ac:dyDescent="0.5">
      <c r="A635" s="3">
        <v>413</v>
      </c>
      <c r="B635" s="3">
        <v>46</v>
      </c>
      <c r="C635" s="3" t="str">
        <f t="shared" si="9"/>
        <v>Middle Age</v>
      </c>
      <c r="D635" t="s">
        <v>5</v>
      </c>
      <c r="E635" t="s">
        <v>4</v>
      </c>
      <c r="F635" s="1">
        <v>45046</v>
      </c>
      <c r="G635" s="10">
        <v>90006.05</v>
      </c>
      <c r="H635">
        <v>24</v>
      </c>
    </row>
    <row r="636" spans="1:8" x14ac:dyDescent="0.5">
      <c r="A636" s="3">
        <v>349</v>
      </c>
      <c r="B636" s="3">
        <v>23</v>
      </c>
      <c r="C636" s="3" t="str">
        <f t="shared" si="9"/>
        <v>Young</v>
      </c>
      <c r="D636" t="s">
        <v>3</v>
      </c>
      <c r="E636" t="s">
        <v>1</v>
      </c>
      <c r="F636" s="1">
        <v>44992</v>
      </c>
      <c r="G636" s="10">
        <v>70480.899999999994</v>
      </c>
      <c r="H636">
        <v>11</v>
      </c>
    </row>
    <row r="637" spans="1:8" x14ac:dyDescent="0.5">
      <c r="A637" s="3">
        <v>380</v>
      </c>
      <c r="B637" s="3">
        <v>28</v>
      </c>
      <c r="C637" s="3" t="str">
        <f t="shared" si="9"/>
        <v>Young</v>
      </c>
      <c r="D637" t="s">
        <v>5</v>
      </c>
      <c r="E637" t="s">
        <v>0</v>
      </c>
      <c r="F637" s="1">
        <v>45093</v>
      </c>
      <c r="G637" s="10">
        <v>21708.06</v>
      </c>
      <c r="H637">
        <v>21</v>
      </c>
    </row>
    <row r="638" spans="1:8" x14ac:dyDescent="0.5">
      <c r="A638" s="3">
        <v>302</v>
      </c>
      <c r="B638" s="3">
        <v>47</v>
      </c>
      <c r="C638" s="3" t="str">
        <f t="shared" si="9"/>
        <v>Middle Age</v>
      </c>
      <c r="D638" t="s">
        <v>5</v>
      </c>
      <c r="E638" t="s">
        <v>0</v>
      </c>
      <c r="F638" s="1">
        <v>45249</v>
      </c>
      <c r="G638" s="10">
        <v>88487.3</v>
      </c>
      <c r="H638">
        <v>3</v>
      </c>
    </row>
    <row r="639" spans="1:8" x14ac:dyDescent="0.5">
      <c r="A639" s="3">
        <v>354</v>
      </c>
      <c r="B639" s="3">
        <v>41</v>
      </c>
      <c r="C639" s="3" t="str">
        <f t="shared" si="9"/>
        <v>Middle Age</v>
      </c>
      <c r="D639" t="s">
        <v>3</v>
      </c>
      <c r="E639" t="s">
        <v>2</v>
      </c>
      <c r="F639" s="1">
        <v>45034</v>
      </c>
      <c r="G639" s="10">
        <v>68415.31</v>
      </c>
      <c r="H639">
        <v>1</v>
      </c>
    </row>
    <row r="640" spans="1:8" x14ac:dyDescent="0.5">
      <c r="A640" s="3">
        <v>449</v>
      </c>
      <c r="B640" s="3">
        <v>43</v>
      </c>
      <c r="C640" s="3" t="str">
        <f t="shared" si="9"/>
        <v>Middle Age</v>
      </c>
      <c r="D640" t="s">
        <v>5</v>
      </c>
      <c r="E640" t="s">
        <v>6</v>
      </c>
      <c r="F640" s="1">
        <v>45130</v>
      </c>
      <c r="G640" s="10">
        <v>99585.57</v>
      </c>
      <c r="H640">
        <v>2</v>
      </c>
    </row>
    <row r="641" spans="1:8" x14ac:dyDescent="0.5">
      <c r="A641" s="3">
        <v>258</v>
      </c>
      <c r="B641" s="3">
        <v>46</v>
      </c>
      <c r="C641" s="3" t="str">
        <f t="shared" si="9"/>
        <v>Middle Age</v>
      </c>
      <c r="D641" t="s">
        <v>5</v>
      </c>
      <c r="E641" t="s">
        <v>6</v>
      </c>
      <c r="F641" s="1">
        <v>45018</v>
      </c>
      <c r="G641" s="10">
        <v>10566.32</v>
      </c>
      <c r="H641">
        <v>29</v>
      </c>
    </row>
    <row r="642" spans="1:8" x14ac:dyDescent="0.5">
      <c r="A642" s="3">
        <v>281</v>
      </c>
      <c r="B642" s="3">
        <v>88</v>
      </c>
      <c r="C642" s="3" t="str">
        <f t="shared" ref="C642:C705" si="10">IF(B642&lt;=30,"Young", IF(B642&lt;=55,"Middle Age",IF(B642&gt;55,"Old","Not found")))</f>
        <v>Old</v>
      </c>
      <c r="D642" t="s">
        <v>3</v>
      </c>
      <c r="E642" t="s">
        <v>1</v>
      </c>
      <c r="F642" s="1">
        <v>45256</v>
      </c>
      <c r="G642" s="10">
        <v>34742.519999999997</v>
      </c>
      <c r="H642">
        <v>22</v>
      </c>
    </row>
    <row r="643" spans="1:8" x14ac:dyDescent="0.5">
      <c r="A643" s="3">
        <v>104</v>
      </c>
      <c r="B643" s="3">
        <v>51</v>
      </c>
      <c r="C643" s="3" t="str">
        <f t="shared" si="10"/>
        <v>Middle Age</v>
      </c>
      <c r="D643" t="s">
        <v>5</v>
      </c>
      <c r="E643" t="s">
        <v>2</v>
      </c>
      <c r="F643" s="1">
        <v>45031</v>
      </c>
      <c r="G643" s="10">
        <v>63771.06</v>
      </c>
      <c r="H643">
        <v>9</v>
      </c>
    </row>
    <row r="644" spans="1:8" x14ac:dyDescent="0.5">
      <c r="A644" s="3">
        <v>315</v>
      </c>
      <c r="B644" s="3">
        <v>39</v>
      </c>
      <c r="C644" s="3" t="str">
        <f t="shared" si="10"/>
        <v>Middle Age</v>
      </c>
      <c r="D644" t="s">
        <v>5</v>
      </c>
      <c r="E644" t="s">
        <v>2</v>
      </c>
      <c r="F644" s="1">
        <v>45244</v>
      </c>
      <c r="G644" s="10">
        <v>27527.56</v>
      </c>
      <c r="H644">
        <v>26</v>
      </c>
    </row>
    <row r="645" spans="1:8" x14ac:dyDescent="0.5">
      <c r="A645" s="3">
        <v>293</v>
      </c>
      <c r="B645" s="3">
        <v>103</v>
      </c>
      <c r="C645" s="3" t="str">
        <f t="shared" si="10"/>
        <v>Old</v>
      </c>
      <c r="D645" t="s">
        <v>3</v>
      </c>
      <c r="E645" t="s">
        <v>6</v>
      </c>
      <c r="F645" s="1">
        <v>45276</v>
      </c>
      <c r="G645" s="10">
        <v>83204.460000000006</v>
      </c>
      <c r="H645">
        <v>18</v>
      </c>
    </row>
    <row r="646" spans="1:8" x14ac:dyDescent="0.5">
      <c r="A646" s="3">
        <v>43</v>
      </c>
      <c r="B646" s="3">
        <v>23</v>
      </c>
      <c r="C646" s="3" t="str">
        <f t="shared" si="10"/>
        <v>Young</v>
      </c>
      <c r="D646" t="s">
        <v>3</v>
      </c>
      <c r="E646" t="s">
        <v>1</v>
      </c>
      <c r="F646" s="1">
        <v>44931</v>
      </c>
      <c r="G646" s="10">
        <v>81618.429999999993</v>
      </c>
      <c r="H646">
        <v>2</v>
      </c>
    </row>
    <row r="647" spans="1:8" x14ac:dyDescent="0.5">
      <c r="A647" s="3">
        <v>48</v>
      </c>
      <c r="B647" s="3">
        <v>88</v>
      </c>
      <c r="C647" s="3" t="str">
        <f t="shared" si="10"/>
        <v>Old</v>
      </c>
      <c r="D647" t="s">
        <v>5</v>
      </c>
      <c r="E647" t="s">
        <v>2</v>
      </c>
      <c r="F647" s="1">
        <v>45244</v>
      </c>
      <c r="G647" s="10">
        <v>70818.81</v>
      </c>
      <c r="H647">
        <v>0</v>
      </c>
    </row>
    <row r="648" spans="1:8" x14ac:dyDescent="0.5">
      <c r="A648" s="3">
        <v>343</v>
      </c>
      <c r="B648" s="3">
        <v>23</v>
      </c>
      <c r="C648" s="3" t="str">
        <f t="shared" si="10"/>
        <v>Young</v>
      </c>
      <c r="D648" t="s">
        <v>5</v>
      </c>
      <c r="E648" t="s">
        <v>6</v>
      </c>
      <c r="F648" s="1">
        <v>45176</v>
      </c>
      <c r="G648" s="10">
        <v>2126.64</v>
      </c>
      <c r="H648">
        <v>26</v>
      </c>
    </row>
    <row r="649" spans="1:8" x14ac:dyDescent="0.5">
      <c r="A649" s="3">
        <v>428</v>
      </c>
      <c r="B649" s="3">
        <v>59</v>
      </c>
      <c r="C649" s="3" t="str">
        <f t="shared" si="10"/>
        <v>Old</v>
      </c>
      <c r="D649" t="s">
        <v>5</v>
      </c>
      <c r="E649" t="s">
        <v>6</v>
      </c>
      <c r="F649" s="1">
        <v>44982</v>
      </c>
      <c r="G649" s="10">
        <v>90971.26</v>
      </c>
      <c r="H649">
        <v>11</v>
      </c>
    </row>
    <row r="650" spans="1:8" x14ac:dyDescent="0.5">
      <c r="A650" s="3">
        <v>386</v>
      </c>
      <c r="B650" s="3">
        <v>48</v>
      </c>
      <c r="C650" s="3" t="str">
        <f t="shared" si="10"/>
        <v>Middle Age</v>
      </c>
      <c r="D650" t="s">
        <v>3</v>
      </c>
      <c r="E650" t="s">
        <v>2</v>
      </c>
      <c r="F650" s="1">
        <v>45008</v>
      </c>
      <c r="G650" s="10">
        <v>43363.23</v>
      </c>
      <c r="H650">
        <v>21</v>
      </c>
    </row>
    <row r="651" spans="1:8" x14ac:dyDescent="0.5">
      <c r="A651" s="3">
        <v>85</v>
      </c>
      <c r="B651" s="3">
        <v>66</v>
      </c>
      <c r="C651" s="3" t="str">
        <f t="shared" si="10"/>
        <v>Old</v>
      </c>
      <c r="D651" t="s">
        <v>3</v>
      </c>
      <c r="E651" t="s">
        <v>6</v>
      </c>
      <c r="F651" s="1">
        <v>45047</v>
      </c>
      <c r="G651" s="10">
        <v>69836.5</v>
      </c>
      <c r="H651">
        <v>17</v>
      </c>
    </row>
    <row r="652" spans="1:8" x14ac:dyDescent="0.5">
      <c r="A652" s="3">
        <v>201</v>
      </c>
      <c r="B652" s="3">
        <v>48</v>
      </c>
      <c r="C652" s="3" t="str">
        <f t="shared" si="10"/>
        <v>Middle Age</v>
      </c>
      <c r="D652" t="s">
        <v>3</v>
      </c>
      <c r="E652" t="s">
        <v>6</v>
      </c>
      <c r="F652" s="1">
        <v>45066</v>
      </c>
      <c r="G652" s="10">
        <v>41083.68</v>
      </c>
      <c r="H652">
        <v>10</v>
      </c>
    </row>
    <row r="653" spans="1:8" x14ac:dyDescent="0.5">
      <c r="A653" s="3">
        <v>344</v>
      </c>
      <c r="B653" s="3">
        <v>74</v>
      </c>
      <c r="C653" s="3" t="str">
        <f t="shared" si="10"/>
        <v>Old</v>
      </c>
      <c r="D653" t="s">
        <v>5</v>
      </c>
      <c r="E653" t="s">
        <v>6</v>
      </c>
      <c r="F653" s="1">
        <v>45275</v>
      </c>
      <c r="G653" s="10">
        <v>52851.24</v>
      </c>
      <c r="H653">
        <v>20</v>
      </c>
    </row>
    <row r="654" spans="1:8" x14ac:dyDescent="0.5">
      <c r="A654" s="3">
        <v>175</v>
      </c>
      <c r="B654" s="3">
        <v>53</v>
      </c>
      <c r="C654" s="3" t="str">
        <f t="shared" si="10"/>
        <v>Middle Age</v>
      </c>
      <c r="D654" t="s">
        <v>3</v>
      </c>
      <c r="E654" t="s">
        <v>2</v>
      </c>
      <c r="F654" s="1">
        <v>45282</v>
      </c>
      <c r="G654" s="10">
        <v>34688</v>
      </c>
      <c r="H654">
        <v>1</v>
      </c>
    </row>
    <row r="655" spans="1:8" x14ac:dyDescent="0.5">
      <c r="A655" s="3">
        <v>308</v>
      </c>
      <c r="B655" s="3">
        <v>61</v>
      </c>
      <c r="C655" s="3" t="str">
        <f t="shared" si="10"/>
        <v>Old</v>
      </c>
      <c r="D655" t="s">
        <v>3</v>
      </c>
      <c r="E655" t="s">
        <v>1</v>
      </c>
      <c r="F655" s="1">
        <v>44951</v>
      </c>
      <c r="G655" s="10">
        <v>49605.59</v>
      </c>
      <c r="H655">
        <v>24</v>
      </c>
    </row>
    <row r="656" spans="1:8" x14ac:dyDescent="0.5">
      <c r="A656" s="3">
        <v>382</v>
      </c>
      <c r="B656" s="3">
        <v>36</v>
      </c>
      <c r="C656" s="3" t="str">
        <f t="shared" si="10"/>
        <v>Middle Age</v>
      </c>
      <c r="D656" t="s">
        <v>3</v>
      </c>
      <c r="E656" t="s">
        <v>6</v>
      </c>
      <c r="F656" s="1">
        <v>45244</v>
      </c>
      <c r="G656" s="10">
        <v>23045.11</v>
      </c>
      <c r="H656">
        <v>18</v>
      </c>
    </row>
    <row r="657" spans="1:8" x14ac:dyDescent="0.5">
      <c r="A657" s="3">
        <v>28</v>
      </c>
      <c r="B657" s="3">
        <v>23</v>
      </c>
      <c r="C657" s="3" t="str">
        <f t="shared" si="10"/>
        <v>Young</v>
      </c>
      <c r="D657" t="s">
        <v>5</v>
      </c>
      <c r="E657" t="s">
        <v>0</v>
      </c>
      <c r="F657" s="1">
        <v>45268</v>
      </c>
      <c r="G657" s="10">
        <v>32334.07</v>
      </c>
      <c r="H657">
        <v>8</v>
      </c>
    </row>
    <row r="658" spans="1:8" x14ac:dyDescent="0.5">
      <c r="A658" s="3">
        <v>292</v>
      </c>
      <c r="B658" s="3">
        <v>50</v>
      </c>
      <c r="C658" s="3" t="str">
        <f t="shared" si="10"/>
        <v>Middle Age</v>
      </c>
      <c r="D658" t="s">
        <v>5</v>
      </c>
      <c r="E658" t="s">
        <v>0</v>
      </c>
      <c r="F658" s="1">
        <v>45026</v>
      </c>
      <c r="G658" s="10">
        <v>48246.9</v>
      </c>
      <c r="H658">
        <v>29</v>
      </c>
    </row>
    <row r="659" spans="1:8" x14ac:dyDescent="0.5">
      <c r="A659" s="3">
        <v>151</v>
      </c>
      <c r="B659" s="3">
        <v>23</v>
      </c>
      <c r="C659" s="3" t="str">
        <f t="shared" si="10"/>
        <v>Young</v>
      </c>
      <c r="D659" t="s">
        <v>5</v>
      </c>
      <c r="E659" t="s">
        <v>1</v>
      </c>
      <c r="F659" s="1">
        <v>45299</v>
      </c>
      <c r="G659" s="10">
        <v>89726.720000000001</v>
      </c>
      <c r="H659">
        <v>1</v>
      </c>
    </row>
    <row r="660" spans="1:8" x14ac:dyDescent="0.5">
      <c r="A660" s="3">
        <v>117</v>
      </c>
      <c r="B660" s="3">
        <v>73</v>
      </c>
      <c r="C660" s="3" t="str">
        <f t="shared" si="10"/>
        <v>Old</v>
      </c>
      <c r="D660" t="s">
        <v>5</v>
      </c>
      <c r="E660" t="s">
        <v>2</v>
      </c>
      <c r="F660" s="1">
        <v>45298</v>
      </c>
      <c r="G660" s="10">
        <v>11362.85</v>
      </c>
      <c r="H660">
        <v>27</v>
      </c>
    </row>
    <row r="661" spans="1:8" x14ac:dyDescent="0.5">
      <c r="A661" s="3">
        <v>90</v>
      </c>
      <c r="B661" s="3">
        <v>97</v>
      </c>
      <c r="C661" s="3" t="str">
        <f t="shared" si="10"/>
        <v>Old</v>
      </c>
      <c r="D661" t="s">
        <v>5</v>
      </c>
      <c r="E661" t="s">
        <v>4</v>
      </c>
      <c r="F661" s="1">
        <v>44959</v>
      </c>
      <c r="G661" s="10">
        <v>30798.45</v>
      </c>
      <c r="H661">
        <v>21</v>
      </c>
    </row>
    <row r="662" spans="1:8" x14ac:dyDescent="0.5">
      <c r="A662" s="3">
        <v>118</v>
      </c>
      <c r="B662" s="3">
        <v>72</v>
      </c>
      <c r="C662" s="3" t="str">
        <f t="shared" si="10"/>
        <v>Old</v>
      </c>
      <c r="D662" t="s">
        <v>5</v>
      </c>
      <c r="E662" t="s">
        <v>2</v>
      </c>
      <c r="F662" s="1">
        <v>44947</v>
      </c>
      <c r="G662" s="10">
        <v>31706.080000000002</v>
      </c>
      <c r="H662">
        <v>21</v>
      </c>
    </row>
    <row r="663" spans="1:8" x14ac:dyDescent="0.5">
      <c r="A663" s="3">
        <v>440</v>
      </c>
      <c r="B663" s="3">
        <v>88</v>
      </c>
      <c r="C663" s="3" t="str">
        <f t="shared" si="10"/>
        <v>Old</v>
      </c>
      <c r="D663" t="s">
        <v>3</v>
      </c>
      <c r="E663" t="s">
        <v>0</v>
      </c>
      <c r="F663" s="1">
        <v>45268</v>
      </c>
      <c r="G663" s="10">
        <v>95038.62</v>
      </c>
      <c r="H663">
        <v>12</v>
      </c>
    </row>
    <row r="664" spans="1:8" x14ac:dyDescent="0.5">
      <c r="A664" s="3">
        <v>282</v>
      </c>
      <c r="B664" s="3">
        <v>85</v>
      </c>
      <c r="C664" s="3" t="str">
        <f t="shared" si="10"/>
        <v>Old</v>
      </c>
      <c r="D664" t="s">
        <v>5</v>
      </c>
      <c r="E664" t="s">
        <v>1</v>
      </c>
      <c r="F664" s="1">
        <v>44950</v>
      </c>
      <c r="G664" s="10">
        <v>27494.37</v>
      </c>
      <c r="H664">
        <v>3</v>
      </c>
    </row>
    <row r="665" spans="1:8" x14ac:dyDescent="0.5">
      <c r="A665" s="3">
        <v>495</v>
      </c>
      <c r="B665" s="3">
        <v>38</v>
      </c>
      <c r="C665" s="3" t="str">
        <f t="shared" si="10"/>
        <v>Middle Age</v>
      </c>
      <c r="D665" t="s">
        <v>5</v>
      </c>
      <c r="E665" t="s">
        <v>6</v>
      </c>
      <c r="F665" s="1">
        <v>45276</v>
      </c>
      <c r="G665" s="10">
        <v>17092.52</v>
      </c>
      <c r="H665">
        <v>22</v>
      </c>
    </row>
    <row r="666" spans="1:8" x14ac:dyDescent="0.5">
      <c r="A666" s="3">
        <v>31</v>
      </c>
      <c r="B666" s="3">
        <v>104</v>
      </c>
      <c r="C666" s="3" t="str">
        <f t="shared" si="10"/>
        <v>Old</v>
      </c>
      <c r="D666" t="s">
        <v>3</v>
      </c>
      <c r="E666" t="s">
        <v>4</v>
      </c>
      <c r="F666" s="1">
        <v>45206</v>
      </c>
      <c r="G666" s="10">
        <v>16515.61</v>
      </c>
      <c r="H666">
        <v>4</v>
      </c>
    </row>
    <row r="667" spans="1:8" x14ac:dyDescent="0.5">
      <c r="A667" s="3">
        <v>107</v>
      </c>
      <c r="B667" s="3">
        <v>62</v>
      </c>
      <c r="C667" s="3" t="str">
        <f t="shared" si="10"/>
        <v>Old</v>
      </c>
      <c r="D667" t="s">
        <v>5</v>
      </c>
      <c r="E667" t="s">
        <v>6</v>
      </c>
      <c r="F667" s="1">
        <v>45066</v>
      </c>
      <c r="G667" s="10">
        <v>80285.33</v>
      </c>
      <c r="H667">
        <v>25</v>
      </c>
    </row>
    <row r="668" spans="1:8" x14ac:dyDescent="0.5">
      <c r="A668" s="3">
        <v>77</v>
      </c>
      <c r="B668" s="3">
        <v>66</v>
      </c>
      <c r="C668" s="3" t="str">
        <f t="shared" si="10"/>
        <v>Old</v>
      </c>
      <c r="D668" t="s">
        <v>5</v>
      </c>
      <c r="E668" t="s">
        <v>0</v>
      </c>
      <c r="F668" s="1">
        <v>45223</v>
      </c>
      <c r="G668" s="10">
        <v>33113.300000000003</v>
      </c>
      <c r="H668">
        <v>11</v>
      </c>
    </row>
    <row r="669" spans="1:8" x14ac:dyDescent="0.5">
      <c r="A669" s="3">
        <v>442</v>
      </c>
      <c r="B669" s="3">
        <v>23</v>
      </c>
      <c r="C669" s="3" t="str">
        <f t="shared" si="10"/>
        <v>Young</v>
      </c>
      <c r="D669" t="s">
        <v>5</v>
      </c>
      <c r="E669" t="s">
        <v>6</v>
      </c>
      <c r="F669" s="1">
        <v>45261</v>
      </c>
      <c r="G669" s="10">
        <v>40360.83</v>
      </c>
      <c r="H669">
        <v>7</v>
      </c>
    </row>
    <row r="670" spans="1:8" x14ac:dyDescent="0.5">
      <c r="A670" s="3">
        <v>431</v>
      </c>
      <c r="B670" s="3">
        <v>88</v>
      </c>
      <c r="C670" s="3" t="str">
        <f t="shared" si="10"/>
        <v>Old</v>
      </c>
      <c r="D670" t="s">
        <v>5</v>
      </c>
      <c r="E670" t="s">
        <v>0</v>
      </c>
      <c r="F670" s="1">
        <v>45152</v>
      </c>
      <c r="G670" s="10">
        <v>68345.42</v>
      </c>
      <c r="H670">
        <v>27</v>
      </c>
    </row>
    <row r="671" spans="1:8" x14ac:dyDescent="0.5">
      <c r="A671" s="3">
        <v>494</v>
      </c>
      <c r="B671" s="3">
        <v>77</v>
      </c>
      <c r="C671" s="3" t="str">
        <f t="shared" si="10"/>
        <v>Old</v>
      </c>
      <c r="D671" t="s">
        <v>5</v>
      </c>
      <c r="E671" t="s">
        <v>4</v>
      </c>
      <c r="F671" s="1">
        <v>45201</v>
      </c>
      <c r="G671" s="10">
        <v>92135.22</v>
      </c>
      <c r="H671">
        <v>1</v>
      </c>
    </row>
    <row r="672" spans="1:8" x14ac:dyDescent="0.5">
      <c r="A672" s="3">
        <v>344</v>
      </c>
      <c r="B672" s="3">
        <v>81</v>
      </c>
      <c r="C672" s="3" t="str">
        <f t="shared" si="10"/>
        <v>Old</v>
      </c>
      <c r="D672" t="s">
        <v>5</v>
      </c>
      <c r="E672" t="s">
        <v>0</v>
      </c>
      <c r="F672" s="1">
        <v>44999</v>
      </c>
      <c r="G672" s="10">
        <v>6700.9</v>
      </c>
      <c r="H672">
        <v>4</v>
      </c>
    </row>
    <row r="673" spans="1:8" x14ac:dyDescent="0.5">
      <c r="A673" s="3">
        <v>359</v>
      </c>
      <c r="B673" s="3">
        <v>93</v>
      </c>
      <c r="C673" s="3" t="str">
        <f t="shared" si="10"/>
        <v>Old</v>
      </c>
      <c r="D673" t="s">
        <v>5</v>
      </c>
      <c r="E673" t="s">
        <v>0</v>
      </c>
      <c r="F673" s="1">
        <v>45200</v>
      </c>
      <c r="G673" s="10">
        <v>18870.98</v>
      </c>
      <c r="H673">
        <v>20</v>
      </c>
    </row>
    <row r="674" spans="1:8" x14ac:dyDescent="0.5">
      <c r="A674" s="3">
        <v>250</v>
      </c>
      <c r="B674" s="3">
        <v>97</v>
      </c>
      <c r="C674" s="3" t="str">
        <f t="shared" si="10"/>
        <v>Old</v>
      </c>
      <c r="D674" t="s">
        <v>5</v>
      </c>
      <c r="E674" t="s">
        <v>1</v>
      </c>
      <c r="F674" s="1">
        <v>44994</v>
      </c>
      <c r="G674" s="10">
        <v>17046.59</v>
      </c>
      <c r="H674">
        <v>19</v>
      </c>
    </row>
    <row r="675" spans="1:8" x14ac:dyDescent="0.5">
      <c r="A675" s="3">
        <v>249</v>
      </c>
      <c r="B675" s="3">
        <v>64</v>
      </c>
      <c r="C675" s="3" t="str">
        <f t="shared" si="10"/>
        <v>Old</v>
      </c>
      <c r="D675" t="s">
        <v>5</v>
      </c>
      <c r="E675" t="s">
        <v>6</v>
      </c>
      <c r="F675" s="1">
        <v>45215</v>
      </c>
      <c r="G675" s="10">
        <v>74717.3</v>
      </c>
      <c r="H675">
        <v>9</v>
      </c>
    </row>
    <row r="676" spans="1:8" x14ac:dyDescent="0.5">
      <c r="A676" s="3">
        <v>444</v>
      </c>
      <c r="B676" s="3">
        <v>88</v>
      </c>
      <c r="C676" s="3" t="str">
        <f t="shared" si="10"/>
        <v>Old</v>
      </c>
      <c r="D676" t="s">
        <v>3</v>
      </c>
      <c r="E676" t="s">
        <v>2</v>
      </c>
      <c r="F676" s="1">
        <v>45117</v>
      </c>
      <c r="G676" s="10">
        <v>63227.67</v>
      </c>
      <c r="H676">
        <v>3</v>
      </c>
    </row>
    <row r="677" spans="1:8" x14ac:dyDescent="0.5">
      <c r="A677" s="3">
        <v>89</v>
      </c>
      <c r="B677" s="3">
        <v>23</v>
      </c>
      <c r="C677" s="3" t="str">
        <f t="shared" si="10"/>
        <v>Young</v>
      </c>
      <c r="D677" t="s">
        <v>5</v>
      </c>
      <c r="E677" t="s">
        <v>6</v>
      </c>
      <c r="F677" s="1">
        <v>44961</v>
      </c>
      <c r="G677" s="10">
        <v>81071.789999999994</v>
      </c>
      <c r="H677">
        <v>24</v>
      </c>
    </row>
    <row r="678" spans="1:8" x14ac:dyDescent="0.5">
      <c r="A678" s="3">
        <v>343</v>
      </c>
      <c r="B678" s="3">
        <v>34</v>
      </c>
      <c r="C678" s="3" t="str">
        <f t="shared" si="10"/>
        <v>Middle Age</v>
      </c>
      <c r="D678" t="s">
        <v>3</v>
      </c>
      <c r="E678" t="s">
        <v>0</v>
      </c>
      <c r="F678" s="1">
        <v>45172</v>
      </c>
      <c r="G678" s="10">
        <v>820.95</v>
      </c>
      <c r="H678">
        <v>13</v>
      </c>
    </row>
    <row r="679" spans="1:8" x14ac:dyDescent="0.5">
      <c r="A679" s="3">
        <v>387</v>
      </c>
      <c r="B679" s="3">
        <v>72</v>
      </c>
      <c r="C679" s="3" t="str">
        <f t="shared" si="10"/>
        <v>Old</v>
      </c>
      <c r="D679" t="s">
        <v>3</v>
      </c>
      <c r="E679" t="s">
        <v>2</v>
      </c>
      <c r="F679" s="1">
        <v>44981</v>
      </c>
      <c r="G679" s="10">
        <v>46806.17</v>
      </c>
      <c r="H679">
        <v>22</v>
      </c>
    </row>
    <row r="680" spans="1:8" x14ac:dyDescent="0.5">
      <c r="A680" s="3">
        <v>307</v>
      </c>
      <c r="B680" s="3">
        <v>23</v>
      </c>
      <c r="C680" s="3" t="str">
        <f t="shared" si="10"/>
        <v>Young</v>
      </c>
      <c r="D680" t="s">
        <v>5</v>
      </c>
      <c r="E680" t="s">
        <v>0</v>
      </c>
      <c r="F680" s="1">
        <v>44957</v>
      </c>
      <c r="G680" s="10">
        <v>63808.98</v>
      </c>
      <c r="H680">
        <v>15</v>
      </c>
    </row>
    <row r="681" spans="1:8" x14ac:dyDescent="0.5">
      <c r="A681" s="3">
        <v>364</v>
      </c>
      <c r="B681" s="3">
        <v>98</v>
      </c>
      <c r="C681" s="3" t="str">
        <f t="shared" si="10"/>
        <v>Old</v>
      </c>
      <c r="D681" t="s">
        <v>5</v>
      </c>
      <c r="E681" t="s">
        <v>1</v>
      </c>
      <c r="F681" s="1">
        <v>45007</v>
      </c>
      <c r="G681" s="10">
        <v>60140.67</v>
      </c>
      <c r="H681">
        <v>23</v>
      </c>
    </row>
    <row r="682" spans="1:8" x14ac:dyDescent="0.5">
      <c r="A682" s="3">
        <v>486</v>
      </c>
      <c r="B682" s="3">
        <v>38</v>
      </c>
      <c r="C682" s="3" t="str">
        <f t="shared" si="10"/>
        <v>Middle Age</v>
      </c>
      <c r="D682" t="s">
        <v>3</v>
      </c>
      <c r="E682" t="s">
        <v>2</v>
      </c>
      <c r="F682" s="1">
        <v>45099</v>
      </c>
      <c r="G682" s="10">
        <v>36985.129999999997</v>
      </c>
      <c r="H682">
        <v>17</v>
      </c>
    </row>
    <row r="683" spans="1:8" x14ac:dyDescent="0.5">
      <c r="A683" s="3">
        <v>18</v>
      </c>
      <c r="B683" s="3">
        <v>104</v>
      </c>
      <c r="C683" s="3" t="str">
        <f t="shared" si="10"/>
        <v>Old</v>
      </c>
      <c r="D683" t="s">
        <v>3</v>
      </c>
      <c r="E683" t="s">
        <v>6</v>
      </c>
      <c r="F683" s="1">
        <v>45000</v>
      </c>
      <c r="G683" s="10">
        <v>1659.45</v>
      </c>
      <c r="H683">
        <v>3</v>
      </c>
    </row>
    <row r="684" spans="1:8" x14ac:dyDescent="0.5">
      <c r="A684" s="3">
        <v>53</v>
      </c>
      <c r="B684" s="3">
        <v>33</v>
      </c>
      <c r="C684" s="3" t="str">
        <f t="shared" si="10"/>
        <v>Middle Age</v>
      </c>
      <c r="D684" t="s">
        <v>3</v>
      </c>
      <c r="E684" t="s">
        <v>6</v>
      </c>
      <c r="F684" s="1">
        <v>44995</v>
      </c>
      <c r="G684" s="10">
        <v>26346.75</v>
      </c>
      <c r="H684">
        <v>12</v>
      </c>
    </row>
    <row r="685" spans="1:8" x14ac:dyDescent="0.5">
      <c r="A685" s="3">
        <v>466</v>
      </c>
      <c r="B685" s="3">
        <v>88</v>
      </c>
      <c r="C685" s="3" t="str">
        <f t="shared" si="10"/>
        <v>Old</v>
      </c>
      <c r="D685" t="s">
        <v>5</v>
      </c>
      <c r="E685" t="s">
        <v>1</v>
      </c>
      <c r="F685" s="1">
        <v>45019</v>
      </c>
      <c r="G685" s="10">
        <v>10022.299999999999</v>
      </c>
      <c r="H685">
        <v>10</v>
      </c>
    </row>
    <row r="686" spans="1:8" x14ac:dyDescent="0.5">
      <c r="A686" s="3">
        <v>5</v>
      </c>
      <c r="B686" s="3">
        <v>88</v>
      </c>
      <c r="C686" s="3" t="str">
        <f t="shared" si="10"/>
        <v>Old</v>
      </c>
      <c r="D686" t="s">
        <v>5</v>
      </c>
      <c r="E686" t="s">
        <v>1</v>
      </c>
      <c r="F686" s="1">
        <v>45104</v>
      </c>
      <c r="G686" s="10">
        <v>92713.69</v>
      </c>
      <c r="H686">
        <v>17</v>
      </c>
    </row>
    <row r="687" spans="1:8" x14ac:dyDescent="0.5">
      <c r="A687" s="3">
        <v>90</v>
      </c>
      <c r="B687" s="3">
        <v>23</v>
      </c>
      <c r="C687" s="3" t="str">
        <f t="shared" si="10"/>
        <v>Young</v>
      </c>
      <c r="D687" t="s">
        <v>3</v>
      </c>
      <c r="E687" t="s">
        <v>6</v>
      </c>
      <c r="F687" s="1">
        <v>45015</v>
      </c>
      <c r="G687" s="10">
        <v>95641.39</v>
      </c>
      <c r="H687">
        <v>10</v>
      </c>
    </row>
    <row r="688" spans="1:8" x14ac:dyDescent="0.5">
      <c r="A688" s="3">
        <v>222</v>
      </c>
      <c r="B688" s="3">
        <v>88</v>
      </c>
      <c r="C688" s="3" t="str">
        <f t="shared" si="10"/>
        <v>Old</v>
      </c>
      <c r="D688" t="s">
        <v>5</v>
      </c>
      <c r="E688" t="s">
        <v>2</v>
      </c>
      <c r="F688" s="1">
        <v>45111</v>
      </c>
      <c r="G688" s="10">
        <v>58351.63</v>
      </c>
      <c r="H688">
        <v>13</v>
      </c>
    </row>
    <row r="689" spans="1:8" x14ac:dyDescent="0.5">
      <c r="A689" s="3">
        <v>332</v>
      </c>
      <c r="B689" s="3">
        <v>23</v>
      </c>
      <c r="C689" s="3" t="str">
        <f t="shared" si="10"/>
        <v>Young</v>
      </c>
      <c r="D689" t="s">
        <v>3</v>
      </c>
      <c r="E689" t="s">
        <v>6</v>
      </c>
      <c r="F689" s="1">
        <v>45181</v>
      </c>
      <c r="G689" s="10">
        <v>92258</v>
      </c>
      <c r="H689">
        <v>4</v>
      </c>
    </row>
    <row r="690" spans="1:8" x14ac:dyDescent="0.5">
      <c r="A690" s="3">
        <v>102</v>
      </c>
      <c r="B690" s="3">
        <v>42</v>
      </c>
      <c r="C690" s="3" t="str">
        <f t="shared" si="10"/>
        <v>Middle Age</v>
      </c>
      <c r="D690" t="s">
        <v>3</v>
      </c>
      <c r="E690" t="s">
        <v>2</v>
      </c>
      <c r="F690" s="1">
        <v>45321</v>
      </c>
      <c r="G690" s="10">
        <v>57697.21</v>
      </c>
      <c r="H690">
        <v>25</v>
      </c>
    </row>
    <row r="691" spans="1:8" x14ac:dyDescent="0.5">
      <c r="A691" s="3">
        <v>224</v>
      </c>
      <c r="B691" s="3">
        <v>88</v>
      </c>
      <c r="C691" s="3" t="str">
        <f t="shared" si="10"/>
        <v>Old</v>
      </c>
      <c r="D691" t="s">
        <v>3</v>
      </c>
      <c r="E691" t="s">
        <v>1</v>
      </c>
      <c r="F691" s="1">
        <v>44948</v>
      </c>
      <c r="G691" s="10">
        <v>76294.990000000005</v>
      </c>
      <c r="H691">
        <v>13</v>
      </c>
    </row>
    <row r="692" spans="1:8" x14ac:dyDescent="0.5">
      <c r="A692" s="3">
        <v>59</v>
      </c>
      <c r="B692" s="3">
        <v>88</v>
      </c>
      <c r="C692" s="3" t="str">
        <f t="shared" si="10"/>
        <v>Old</v>
      </c>
      <c r="D692" t="s">
        <v>3</v>
      </c>
      <c r="E692" t="s">
        <v>1</v>
      </c>
      <c r="F692" s="1">
        <v>45228</v>
      </c>
      <c r="G692" s="10">
        <v>31371.95</v>
      </c>
      <c r="H692">
        <v>6</v>
      </c>
    </row>
    <row r="693" spans="1:8" x14ac:dyDescent="0.5">
      <c r="A693" s="3">
        <v>4</v>
      </c>
      <c r="B693" s="3">
        <v>74</v>
      </c>
      <c r="C693" s="3" t="str">
        <f t="shared" si="10"/>
        <v>Old</v>
      </c>
      <c r="D693" t="s">
        <v>5</v>
      </c>
      <c r="E693" t="s">
        <v>2</v>
      </c>
      <c r="F693" s="1">
        <v>45002</v>
      </c>
      <c r="G693" s="10">
        <v>95113.78</v>
      </c>
      <c r="H693">
        <v>21</v>
      </c>
    </row>
    <row r="694" spans="1:8" x14ac:dyDescent="0.5">
      <c r="A694" s="3">
        <v>415</v>
      </c>
      <c r="B694" s="3">
        <v>27</v>
      </c>
      <c r="C694" s="3" t="str">
        <f t="shared" si="10"/>
        <v>Young</v>
      </c>
      <c r="D694" t="s">
        <v>5</v>
      </c>
      <c r="E694" t="s">
        <v>6</v>
      </c>
      <c r="F694" s="1">
        <v>45086</v>
      </c>
      <c r="G694" s="10">
        <v>50498.85</v>
      </c>
      <c r="H694">
        <v>12</v>
      </c>
    </row>
    <row r="695" spans="1:8" x14ac:dyDescent="0.5">
      <c r="A695" s="3">
        <v>462</v>
      </c>
      <c r="B695" s="3">
        <v>88</v>
      </c>
      <c r="C695" s="3" t="str">
        <f t="shared" si="10"/>
        <v>Old</v>
      </c>
      <c r="D695" t="s">
        <v>5</v>
      </c>
      <c r="E695" t="s">
        <v>1</v>
      </c>
      <c r="F695" s="1">
        <v>44999</v>
      </c>
      <c r="G695" s="10">
        <v>82749.56</v>
      </c>
      <c r="H695">
        <v>4</v>
      </c>
    </row>
    <row r="696" spans="1:8" x14ac:dyDescent="0.5">
      <c r="A696" s="3">
        <v>454</v>
      </c>
      <c r="B696" s="3">
        <v>58</v>
      </c>
      <c r="C696" s="3" t="str">
        <f t="shared" si="10"/>
        <v>Old</v>
      </c>
      <c r="D696" t="s">
        <v>5</v>
      </c>
      <c r="E696" t="s">
        <v>4</v>
      </c>
      <c r="F696" s="1">
        <v>45179</v>
      </c>
      <c r="G696" s="10">
        <v>72807.12</v>
      </c>
      <c r="H696">
        <v>2</v>
      </c>
    </row>
    <row r="697" spans="1:8" x14ac:dyDescent="0.5">
      <c r="A697" s="3">
        <v>249</v>
      </c>
      <c r="B697" s="3">
        <v>100</v>
      </c>
      <c r="C697" s="3" t="str">
        <f t="shared" si="10"/>
        <v>Old</v>
      </c>
      <c r="D697" t="s">
        <v>5</v>
      </c>
      <c r="E697" t="s">
        <v>0</v>
      </c>
      <c r="F697" s="1">
        <v>45256</v>
      </c>
      <c r="G697" s="10">
        <v>69224.27</v>
      </c>
      <c r="H697">
        <v>23</v>
      </c>
    </row>
    <row r="698" spans="1:8" x14ac:dyDescent="0.5">
      <c r="A698" s="3">
        <v>63</v>
      </c>
      <c r="B698" s="3">
        <v>70</v>
      </c>
      <c r="C698" s="3" t="str">
        <f t="shared" si="10"/>
        <v>Old</v>
      </c>
      <c r="D698" t="s">
        <v>3</v>
      </c>
      <c r="E698" t="s">
        <v>0</v>
      </c>
      <c r="F698" s="1">
        <v>45046</v>
      </c>
      <c r="G698" s="10">
        <v>23928.39</v>
      </c>
      <c r="H698">
        <v>3</v>
      </c>
    </row>
    <row r="699" spans="1:8" x14ac:dyDescent="0.5">
      <c r="A699" s="3">
        <v>1</v>
      </c>
      <c r="B699" s="3">
        <v>52</v>
      </c>
      <c r="C699" s="3" t="str">
        <f t="shared" si="10"/>
        <v>Middle Age</v>
      </c>
      <c r="D699" t="s">
        <v>3</v>
      </c>
      <c r="E699" t="s">
        <v>1</v>
      </c>
      <c r="F699" s="1">
        <v>45248</v>
      </c>
      <c r="G699" s="10">
        <v>36020.29</v>
      </c>
      <c r="H699">
        <v>9</v>
      </c>
    </row>
    <row r="700" spans="1:8" x14ac:dyDescent="0.5">
      <c r="A700" s="3">
        <v>365</v>
      </c>
      <c r="B700" s="3">
        <v>51</v>
      </c>
      <c r="C700" s="3" t="str">
        <f t="shared" si="10"/>
        <v>Middle Age</v>
      </c>
      <c r="D700" t="s">
        <v>5</v>
      </c>
      <c r="E700" t="s">
        <v>2</v>
      </c>
      <c r="F700" s="1">
        <v>45026</v>
      </c>
      <c r="G700" s="10">
        <v>43902.54</v>
      </c>
      <c r="H700">
        <v>5</v>
      </c>
    </row>
    <row r="701" spans="1:8" x14ac:dyDescent="0.5">
      <c r="A701" s="3">
        <v>121</v>
      </c>
      <c r="B701" s="3">
        <v>91</v>
      </c>
      <c r="C701" s="3" t="str">
        <f t="shared" si="10"/>
        <v>Old</v>
      </c>
      <c r="D701" t="s">
        <v>5</v>
      </c>
      <c r="E701" t="s">
        <v>0</v>
      </c>
      <c r="F701" s="1">
        <v>45175</v>
      </c>
      <c r="G701" s="10">
        <v>28145.33</v>
      </c>
      <c r="H701">
        <v>6</v>
      </c>
    </row>
    <row r="702" spans="1:8" x14ac:dyDescent="0.5">
      <c r="A702" s="3">
        <v>80</v>
      </c>
      <c r="B702" s="3">
        <v>29</v>
      </c>
      <c r="C702" s="3" t="str">
        <f t="shared" si="10"/>
        <v>Young</v>
      </c>
      <c r="D702" t="s">
        <v>5</v>
      </c>
      <c r="E702" t="s">
        <v>4</v>
      </c>
      <c r="F702" s="1">
        <v>45249</v>
      </c>
      <c r="G702" s="10">
        <v>55178.09</v>
      </c>
      <c r="H702">
        <v>2</v>
      </c>
    </row>
    <row r="703" spans="1:8" x14ac:dyDescent="0.5">
      <c r="A703" s="3">
        <v>445</v>
      </c>
      <c r="B703" s="3">
        <v>76</v>
      </c>
      <c r="C703" s="3" t="str">
        <f t="shared" si="10"/>
        <v>Old</v>
      </c>
      <c r="D703" t="s">
        <v>3</v>
      </c>
      <c r="E703" t="s">
        <v>1</v>
      </c>
      <c r="F703" s="1">
        <v>44987</v>
      </c>
      <c r="G703" s="10">
        <v>52738.62</v>
      </c>
      <c r="H703">
        <v>27</v>
      </c>
    </row>
    <row r="704" spans="1:8" x14ac:dyDescent="0.5">
      <c r="A704" s="3">
        <v>246</v>
      </c>
      <c r="B704" s="3">
        <v>63</v>
      </c>
      <c r="C704" s="3" t="str">
        <f t="shared" si="10"/>
        <v>Old</v>
      </c>
      <c r="D704" t="s">
        <v>5</v>
      </c>
      <c r="E704" t="s">
        <v>1</v>
      </c>
      <c r="F704" s="1">
        <v>45083</v>
      </c>
      <c r="G704" s="10">
        <v>23820.28</v>
      </c>
      <c r="H704">
        <v>0</v>
      </c>
    </row>
    <row r="705" spans="1:8" x14ac:dyDescent="0.5">
      <c r="A705" s="3">
        <v>101</v>
      </c>
      <c r="B705" s="3">
        <v>58</v>
      </c>
      <c r="C705" s="3" t="str">
        <f t="shared" si="10"/>
        <v>Old</v>
      </c>
      <c r="D705" t="s">
        <v>3</v>
      </c>
      <c r="E705" t="s">
        <v>1</v>
      </c>
      <c r="F705" s="1">
        <v>45212</v>
      </c>
      <c r="G705" s="10">
        <v>18150.05</v>
      </c>
      <c r="H705">
        <v>8</v>
      </c>
    </row>
    <row r="706" spans="1:8" x14ac:dyDescent="0.5">
      <c r="A706" s="3">
        <v>45</v>
      </c>
      <c r="B706" s="3">
        <v>23</v>
      </c>
      <c r="C706" s="3" t="str">
        <f t="shared" ref="C706:C769" si="11">IF(B706&lt;=30,"Young", IF(B706&lt;=55,"Middle Age",IF(B706&gt;55,"Old","Not found")))</f>
        <v>Young</v>
      </c>
      <c r="D706" t="s">
        <v>5</v>
      </c>
      <c r="E706" t="s">
        <v>1</v>
      </c>
      <c r="F706" s="1">
        <v>45050</v>
      </c>
      <c r="G706" s="10">
        <v>93086.52</v>
      </c>
      <c r="H706">
        <v>29</v>
      </c>
    </row>
    <row r="707" spans="1:8" x14ac:dyDescent="0.5">
      <c r="A707" s="3">
        <v>142</v>
      </c>
      <c r="B707" s="3">
        <v>41</v>
      </c>
      <c r="C707" s="3" t="str">
        <f t="shared" si="11"/>
        <v>Middle Age</v>
      </c>
      <c r="D707" t="s">
        <v>5</v>
      </c>
      <c r="E707" t="s">
        <v>1</v>
      </c>
      <c r="F707" s="1">
        <v>45282</v>
      </c>
      <c r="G707" s="10">
        <v>57424.63</v>
      </c>
      <c r="H707">
        <v>15</v>
      </c>
    </row>
    <row r="708" spans="1:8" x14ac:dyDescent="0.5">
      <c r="A708" s="3">
        <v>97</v>
      </c>
      <c r="B708" s="3">
        <v>100</v>
      </c>
      <c r="C708" s="3" t="str">
        <f t="shared" si="11"/>
        <v>Old</v>
      </c>
      <c r="D708" t="s">
        <v>3</v>
      </c>
      <c r="E708" t="s">
        <v>2</v>
      </c>
      <c r="F708" s="1">
        <v>45000</v>
      </c>
      <c r="G708" s="10">
        <v>954.43</v>
      </c>
      <c r="H708">
        <v>19</v>
      </c>
    </row>
    <row r="709" spans="1:8" x14ac:dyDescent="0.5">
      <c r="A709" s="3">
        <v>117</v>
      </c>
      <c r="B709" s="3">
        <v>58</v>
      </c>
      <c r="C709" s="3" t="str">
        <f t="shared" si="11"/>
        <v>Old</v>
      </c>
      <c r="D709" t="s">
        <v>3</v>
      </c>
      <c r="E709" t="s">
        <v>0</v>
      </c>
      <c r="F709" s="1">
        <v>45046</v>
      </c>
      <c r="G709" s="10">
        <v>47166.15</v>
      </c>
      <c r="H709">
        <v>24</v>
      </c>
    </row>
    <row r="710" spans="1:8" x14ac:dyDescent="0.5">
      <c r="A710" s="3">
        <v>56</v>
      </c>
      <c r="B710" s="3">
        <v>23</v>
      </c>
      <c r="C710" s="3" t="str">
        <f t="shared" si="11"/>
        <v>Young</v>
      </c>
      <c r="D710" t="s">
        <v>3</v>
      </c>
      <c r="E710" t="s">
        <v>1</v>
      </c>
      <c r="F710" s="1">
        <v>45232</v>
      </c>
      <c r="G710" s="10">
        <v>44697.35</v>
      </c>
      <c r="H710">
        <v>20</v>
      </c>
    </row>
    <row r="711" spans="1:8" x14ac:dyDescent="0.5">
      <c r="A711" s="3">
        <v>481</v>
      </c>
      <c r="B711" s="3">
        <v>71</v>
      </c>
      <c r="C711" s="3" t="str">
        <f t="shared" si="11"/>
        <v>Old</v>
      </c>
      <c r="D711" t="s">
        <v>5</v>
      </c>
      <c r="E711" t="s">
        <v>1</v>
      </c>
      <c r="F711" s="1">
        <v>45091</v>
      </c>
      <c r="G711" s="10">
        <v>48171.26</v>
      </c>
      <c r="H711">
        <v>17</v>
      </c>
    </row>
    <row r="712" spans="1:8" x14ac:dyDescent="0.5">
      <c r="A712" s="3">
        <v>183</v>
      </c>
      <c r="B712" s="3">
        <v>23</v>
      </c>
      <c r="C712" s="3" t="str">
        <f t="shared" si="11"/>
        <v>Young</v>
      </c>
      <c r="D712" t="s">
        <v>3</v>
      </c>
      <c r="E712" t="s">
        <v>2</v>
      </c>
      <c r="F712" s="1">
        <v>45287</v>
      </c>
      <c r="G712" s="10">
        <v>22293.360000000001</v>
      </c>
      <c r="H712">
        <v>22</v>
      </c>
    </row>
    <row r="713" spans="1:8" x14ac:dyDescent="0.5">
      <c r="A713" s="3">
        <v>332</v>
      </c>
      <c r="B713" s="3">
        <v>58</v>
      </c>
      <c r="C713" s="3" t="str">
        <f t="shared" si="11"/>
        <v>Old</v>
      </c>
      <c r="D713" t="s">
        <v>5</v>
      </c>
      <c r="E713" t="s">
        <v>6</v>
      </c>
      <c r="F713" s="1">
        <v>44931</v>
      </c>
      <c r="G713" s="10">
        <v>94439.02</v>
      </c>
      <c r="H713">
        <v>27</v>
      </c>
    </row>
    <row r="714" spans="1:8" x14ac:dyDescent="0.5">
      <c r="A714" s="3">
        <v>236</v>
      </c>
      <c r="B714" s="3">
        <v>53</v>
      </c>
      <c r="C714" s="3" t="str">
        <f t="shared" si="11"/>
        <v>Middle Age</v>
      </c>
      <c r="D714" t="s">
        <v>3</v>
      </c>
      <c r="E714" t="s">
        <v>4</v>
      </c>
      <c r="F714" s="1">
        <v>45062</v>
      </c>
      <c r="G714" s="10">
        <v>15220.15</v>
      </c>
      <c r="H714">
        <v>2</v>
      </c>
    </row>
    <row r="715" spans="1:8" x14ac:dyDescent="0.5">
      <c r="A715" s="3">
        <v>194</v>
      </c>
      <c r="B715" s="3">
        <v>27</v>
      </c>
      <c r="C715" s="3" t="str">
        <f t="shared" si="11"/>
        <v>Young</v>
      </c>
      <c r="D715" t="s">
        <v>3</v>
      </c>
      <c r="E715" t="s">
        <v>1</v>
      </c>
      <c r="F715" s="1">
        <v>45263</v>
      </c>
      <c r="G715" s="10">
        <v>88730.1</v>
      </c>
      <c r="H715">
        <v>7</v>
      </c>
    </row>
    <row r="716" spans="1:8" x14ac:dyDescent="0.5">
      <c r="A716" s="3">
        <v>353</v>
      </c>
      <c r="B716" s="3">
        <v>97</v>
      </c>
      <c r="C716" s="3" t="str">
        <f t="shared" si="11"/>
        <v>Old</v>
      </c>
      <c r="D716" t="s">
        <v>5</v>
      </c>
      <c r="E716" t="s">
        <v>1</v>
      </c>
      <c r="F716" s="1">
        <v>45085</v>
      </c>
      <c r="G716" s="10">
        <v>16118.34</v>
      </c>
      <c r="H716">
        <v>10</v>
      </c>
    </row>
    <row r="717" spans="1:8" x14ac:dyDescent="0.5">
      <c r="A717" s="3">
        <v>232</v>
      </c>
      <c r="B717" s="3">
        <v>23</v>
      </c>
      <c r="C717" s="3" t="str">
        <f t="shared" si="11"/>
        <v>Young</v>
      </c>
      <c r="D717" t="s">
        <v>3</v>
      </c>
      <c r="E717" t="s">
        <v>4</v>
      </c>
      <c r="F717" s="1">
        <v>45030</v>
      </c>
      <c r="G717" s="10">
        <v>2534.62</v>
      </c>
      <c r="H717">
        <v>2</v>
      </c>
    </row>
    <row r="718" spans="1:8" x14ac:dyDescent="0.5">
      <c r="A718" s="3">
        <v>305</v>
      </c>
      <c r="B718" s="3">
        <v>57</v>
      </c>
      <c r="C718" s="3" t="str">
        <f t="shared" si="11"/>
        <v>Old</v>
      </c>
      <c r="D718" t="s">
        <v>3</v>
      </c>
      <c r="E718" t="s">
        <v>4</v>
      </c>
      <c r="F718" s="1">
        <v>45302</v>
      </c>
      <c r="G718" s="10">
        <v>96650.8</v>
      </c>
      <c r="H718">
        <v>17</v>
      </c>
    </row>
    <row r="719" spans="1:8" x14ac:dyDescent="0.5">
      <c r="A719" s="3">
        <v>56</v>
      </c>
      <c r="B719" s="3">
        <v>58</v>
      </c>
      <c r="C719" s="3" t="str">
        <f t="shared" si="11"/>
        <v>Old</v>
      </c>
      <c r="D719" t="s">
        <v>5</v>
      </c>
      <c r="E719" t="s">
        <v>4</v>
      </c>
      <c r="F719" s="1">
        <v>45229</v>
      </c>
      <c r="G719" s="10">
        <v>50179.17</v>
      </c>
      <c r="H719">
        <v>14</v>
      </c>
    </row>
    <row r="720" spans="1:8" x14ac:dyDescent="0.5">
      <c r="A720" s="3">
        <v>479</v>
      </c>
      <c r="B720" s="3">
        <v>23</v>
      </c>
      <c r="C720" s="3" t="str">
        <f t="shared" si="11"/>
        <v>Young</v>
      </c>
      <c r="D720" t="s">
        <v>5</v>
      </c>
      <c r="E720" t="s">
        <v>0</v>
      </c>
      <c r="F720" s="1">
        <v>44939</v>
      </c>
      <c r="G720" s="10">
        <v>80702.81</v>
      </c>
      <c r="H720">
        <v>27</v>
      </c>
    </row>
    <row r="721" spans="1:8" x14ac:dyDescent="0.5">
      <c r="A721" s="3">
        <v>389</v>
      </c>
      <c r="B721" s="3">
        <v>92</v>
      </c>
      <c r="C721" s="3" t="str">
        <f t="shared" si="11"/>
        <v>Old</v>
      </c>
      <c r="D721" t="s">
        <v>5</v>
      </c>
      <c r="E721" t="s">
        <v>2</v>
      </c>
      <c r="F721" s="1">
        <v>45300</v>
      </c>
      <c r="G721" s="10">
        <v>21405.94</v>
      </c>
      <c r="H721">
        <v>5</v>
      </c>
    </row>
    <row r="722" spans="1:8" x14ac:dyDescent="0.5">
      <c r="A722" s="3">
        <v>220</v>
      </c>
      <c r="B722" s="3">
        <v>86</v>
      </c>
      <c r="C722" s="3" t="str">
        <f t="shared" si="11"/>
        <v>Old</v>
      </c>
      <c r="D722" t="s">
        <v>5</v>
      </c>
      <c r="E722" t="s">
        <v>2</v>
      </c>
      <c r="F722" s="1">
        <v>45099</v>
      </c>
      <c r="G722" s="10">
        <v>41691.230000000003</v>
      </c>
      <c r="H722">
        <v>3</v>
      </c>
    </row>
    <row r="723" spans="1:8" x14ac:dyDescent="0.5">
      <c r="A723" s="3">
        <v>105</v>
      </c>
      <c r="B723" s="3">
        <v>72</v>
      </c>
      <c r="C723" s="3" t="str">
        <f t="shared" si="11"/>
        <v>Old</v>
      </c>
      <c r="D723" t="s">
        <v>5</v>
      </c>
      <c r="E723" t="s">
        <v>6</v>
      </c>
      <c r="F723" s="1">
        <v>45233</v>
      </c>
      <c r="G723" s="10">
        <v>90739.95</v>
      </c>
      <c r="H723">
        <v>26</v>
      </c>
    </row>
    <row r="724" spans="1:8" x14ac:dyDescent="0.5">
      <c r="A724" s="3">
        <v>287</v>
      </c>
      <c r="B724" s="3">
        <v>35</v>
      </c>
      <c r="C724" s="3" t="str">
        <f t="shared" si="11"/>
        <v>Middle Age</v>
      </c>
      <c r="D724" t="s">
        <v>5</v>
      </c>
      <c r="E724" t="s">
        <v>0</v>
      </c>
      <c r="F724" s="1">
        <v>45234</v>
      </c>
      <c r="G724" s="10">
        <v>69616.97</v>
      </c>
      <c r="H724">
        <v>19</v>
      </c>
    </row>
    <row r="725" spans="1:8" x14ac:dyDescent="0.5">
      <c r="A725" s="3">
        <v>283</v>
      </c>
      <c r="B725" s="3">
        <v>23</v>
      </c>
      <c r="C725" s="3" t="str">
        <f t="shared" si="11"/>
        <v>Young</v>
      </c>
      <c r="D725" t="s">
        <v>5</v>
      </c>
      <c r="E725" t="s">
        <v>0</v>
      </c>
      <c r="F725" s="1">
        <v>45024</v>
      </c>
      <c r="G725" s="10">
        <v>23611.75</v>
      </c>
      <c r="H725">
        <v>23</v>
      </c>
    </row>
    <row r="726" spans="1:8" x14ac:dyDescent="0.5">
      <c r="A726" s="3">
        <v>303</v>
      </c>
      <c r="B726" s="3">
        <v>96</v>
      </c>
      <c r="C726" s="3" t="str">
        <f t="shared" si="11"/>
        <v>Old</v>
      </c>
      <c r="D726" t="s">
        <v>5</v>
      </c>
      <c r="E726" t="s">
        <v>1</v>
      </c>
      <c r="F726" s="1">
        <v>45120</v>
      </c>
      <c r="G726" s="10">
        <v>70001.61</v>
      </c>
      <c r="H726">
        <v>5</v>
      </c>
    </row>
    <row r="727" spans="1:8" x14ac:dyDescent="0.5">
      <c r="A727" s="3">
        <v>56</v>
      </c>
      <c r="B727" s="3">
        <v>23</v>
      </c>
      <c r="C727" s="3" t="str">
        <f t="shared" si="11"/>
        <v>Young</v>
      </c>
      <c r="D727" t="s">
        <v>3</v>
      </c>
      <c r="E727" t="s">
        <v>1</v>
      </c>
      <c r="F727" s="1">
        <v>45286</v>
      </c>
      <c r="G727" s="10">
        <v>83606.759999999995</v>
      </c>
      <c r="H727">
        <v>0</v>
      </c>
    </row>
    <row r="728" spans="1:8" x14ac:dyDescent="0.5">
      <c r="A728" s="3">
        <v>42</v>
      </c>
      <c r="B728" s="3">
        <v>25</v>
      </c>
      <c r="C728" s="3" t="str">
        <f t="shared" si="11"/>
        <v>Young</v>
      </c>
      <c r="D728" t="s">
        <v>3</v>
      </c>
      <c r="E728" t="s">
        <v>0</v>
      </c>
      <c r="F728" s="1">
        <v>45084</v>
      </c>
      <c r="G728" s="10">
        <v>37912.79</v>
      </c>
      <c r="H728">
        <v>3</v>
      </c>
    </row>
    <row r="729" spans="1:8" x14ac:dyDescent="0.5">
      <c r="A729" s="3">
        <v>311</v>
      </c>
      <c r="B729" s="3">
        <v>50</v>
      </c>
      <c r="C729" s="3" t="str">
        <f t="shared" si="11"/>
        <v>Middle Age</v>
      </c>
      <c r="D729" t="s">
        <v>3</v>
      </c>
      <c r="E729" t="s">
        <v>2</v>
      </c>
      <c r="F729" s="1">
        <v>45276</v>
      </c>
      <c r="G729" s="10">
        <v>45570.879999999997</v>
      </c>
      <c r="H729">
        <v>0</v>
      </c>
    </row>
    <row r="730" spans="1:8" x14ac:dyDescent="0.5">
      <c r="A730" s="3">
        <v>283</v>
      </c>
      <c r="B730" s="3">
        <v>55</v>
      </c>
      <c r="C730" s="3" t="str">
        <f t="shared" si="11"/>
        <v>Middle Age</v>
      </c>
      <c r="D730" t="s">
        <v>3</v>
      </c>
      <c r="E730" t="s">
        <v>2</v>
      </c>
      <c r="F730" s="1">
        <v>45274</v>
      </c>
      <c r="G730" s="10">
        <v>69291.27</v>
      </c>
      <c r="H730">
        <v>21</v>
      </c>
    </row>
    <row r="731" spans="1:8" x14ac:dyDescent="0.5">
      <c r="A731" s="3">
        <v>92</v>
      </c>
      <c r="B731" s="3">
        <v>58</v>
      </c>
      <c r="C731" s="3" t="str">
        <f t="shared" si="11"/>
        <v>Old</v>
      </c>
      <c r="D731" t="s">
        <v>5</v>
      </c>
      <c r="E731" t="s">
        <v>2</v>
      </c>
      <c r="F731" s="1">
        <v>45312</v>
      </c>
      <c r="G731" s="10">
        <v>30887.32</v>
      </c>
      <c r="H731">
        <v>3</v>
      </c>
    </row>
    <row r="732" spans="1:8" x14ac:dyDescent="0.5">
      <c r="A732" s="3">
        <v>218</v>
      </c>
      <c r="B732" s="3">
        <v>23</v>
      </c>
      <c r="C732" s="3" t="str">
        <f t="shared" si="11"/>
        <v>Young</v>
      </c>
      <c r="D732" t="s">
        <v>3</v>
      </c>
      <c r="E732" t="s">
        <v>0</v>
      </c>
      <c r="F732" s="1">
        <v>45263</v>
      </c>
      <c r="G732" s="10">
        <v>30624.87</v>
      </c>
      <c r="H732">
        <v>4</v>
      </c>
    </row>
    <row r="733" spans="1:8" x14ac:dyDescent="0.5">
      <c r="A733" s="3">
        <v>448</v>
      </c>
      <c r="B733" s="3">
        <v>89</v>
      </c>
      <c r="C733" s="3" t="str">
        <f t="shared" si="11"/>
        <v>Old</v>
      </c>
      <c r="D733" t="s">
        <v>5</v>
      </c>
      <c r="E733" t="s">
        <v>6</v>
      </c>
      <c r="F733" s="1">
        <v>44982</v>
      </c>
      <c r="G733" s="10">
        <v>69828.899999999994</v>
      </c>
      <c r="H733">
        <v>25</v>
      </c>
    </row>
    <row r="734" spans="1:8" x14ac:dyDescent="0.5">
      <c r="A734" s="3">
        <v>451</v>
      </c>
      <c r="B734" s="3">
        <v>21</v>
      </c>
      <c r="C734" s="3" t="str">
        <f t="shared" si="11"/>
        <v>Young</v>
      </c>
      <c r="D734" t="s">
        <v>3</v>
      </c>
      <c r="E734" t="s">
        <v>4</v>
      </c>
      <c r="F734" s="1">
        <v>45091</v>
      </c>
      <c r="G734" s="10">
        <v>82955.009999999995</v>
      </c>
      <c r="H734">
        <v>2</v>
      </c>
    </row>
    <row r="735" spans="1:8" x14ac:dyDescent="0.5">
      <c r="A735" s="3">
        <v>150</v>
      </c>
      <c r="B735" s="3">
        <v>56</v>
      </c>
      <c r="C735" s="3" t="str">
        <f t="shared" si="11"/>
        <v>Old</v>
      </c>
      <c r="D735" t="s">
        <v>3</v>
      </c>
      <c r="E735" t="s">
        <v>0</v>
      </c>
      <c r="F735" s="1">
        <v>45269</v>
      </c>
      <c r="G735" s="10">
        <v>54991.17</v>
      </c>
      <c r="H735">
        <v>7</v>
      </c>
    </row>
    <row r="736" spans="1:8" x14ac:dyDescent="0.5">
      <c r="A736" s="3">
        <v>237</v>
      </c>
      <c r="B736" s="3">
        <v>23</v>
      </c>
      <c r="C736" s="3" t="str">
        <f t="shared" si="11"/>
        <v>Young</v>
      </c>
      <c r="D736" t="s">
        <v>5</v>
      </c>
      <c r="E736" t="s">
        <v>2</v>
      </c>
      <c r="F736" s="1">
        <v>44993</v>
      </c>
      <c r="G736" s="10">
        <v>33423.730000000003</v>
      </c>
      <c r="H736">
        <v>19</v>
      </c>
    </row>
    <row r="737" spans="1:8" x14ac:dyDescent="0.5">
      <c r="A737" s="3">
        <v>469</v>
      </c>
      <c r="B737" s="3">
        <v>38</v>
      </c>
      <c r="C737" s="3" t="str">
        <f t="shared" si="11"/>
        <v>Middle Age</v>
      </c>
      <c r="D737" t="s">
        <v>5</v>
      </c>
      <c r="E737" t="s">
        <v>2</v>
      </c>
      <c r="F737" s="1">
        <v>44948</v>
      </c>
      <c r="G737" s="10">
        <v>70814.25</v>
      </c>
      <c r="H737">
        <v>28</v>
      </c>
    </row>
    <row r="738" spans="1:8" x14ac:dyDescent="0.5">
      <c r="A738" s="3">
        <v>203</v>
      </c>
      <c r="B738" s="3">
        <v>23</v>
      </c>
      <c r="C738" s="3" t="str">
        <f t="shared" si="11"/>
        <v>Young</v>
      </c>
      <c r="D738" t="s">
        <v>3</v>
      </c>
      <c r="E738" t="s">
        <v>4</v>
      </c>
      <c r="F738" s="1">
        <v>45083</v>
      </c>
      <c r="G738" s="10">
        <v>28091.94</v>
      </c>
      <c r="H738">
        <v>6</v>
      </c>
    </row>
    <row r="739" spans="1:8" x14ac:dyDescent="0.5">
      <c r="A739" s="3">
        <v>498</v>
      </c>
      <c r="B739" s="3">
        <v>75</v>
      </c>
      <c r="C739" s="3" t="str">
        <f t="shared" si="11"/>
        <v>Old</v>
      </c>
      <c r="D739" t="s">
        <v>5</v>
      </c>
      <c r="E739" t="s">
        <v>2</v>
      </c>
      <c r="F739" s="1">
        <v>45144</v>
      </c>
      <c r="G739" s="10">
        <v>4617.6899999999996</v>
      </c>
      <c r="H739">
        <v>22</v>
      </c>
    </row>
    <row r="740" spans="1:8" x14ac:dyDescent="0.5">
      <c r="A740" s="3">
        <v>354</v>
      </c>
      <c r="B740" s="3">
        <v>23</v>
      </c>
      <c r="C740" s="3" t="str">
        <f t="shared" si="11"/>
        <v>Young</v>
      </c>
      <c r="D740" t="s">
        <v>5</v>
      </c>
      <c r="E740" t="s">
        <v>2</v>
      </c>
      <c r="F740" s="1">
        <v>44967</v>
      </c>
      <c r="G740" s="10">
        <v>61454.31</v>
      </c>
      <c r="H740">
        <v>29</v>
      </c>
    </row>
    <row r="741" spans="1:8" x14ac:dyDescent="0.5">
      <c r="A741" s="3">
        <v>38</v>
      </c>
      <c r="B741" s="3">
        <v>41</v>
      </c>
      <c r="C741" s="3" t="str">
        <f t="shared" si="11"/>
        <v>Middle Age</v>
      </c>
      <c r="D741" t="s">
        <v>5</v>
      </c>
      <c r="E741" t="s">
        <v>0</v>
      </c>
      <c r="F741" s="1">
        <v>45152</v>
      </c>
      <c r="G741" s="10">
        <v>676.41</v>
      </c>
      <c r="H741">
        <v>24</v>
      </c>
    </row>
    <row r="742" spans="1:8" x14ac:dyDescent="0.5">
      <c r="A742" s="3">
        <v>301</v>
      </c>
      <c r="B742" s="3">
        <v>23</v>
      </c>
      <c r="C742" s="3" t="str">
        <f t="shared" si="11"/>
        <v>Young</v>
      </c>
      <c r="D742" t="s">
        <v>5</v>
      </c>
      <c r="E742" t="s">
        <v>4</v>
      </c>
      <c r="F742" s="1">
        <v>45160</v>
      </c>
      <c r="G742" s="10">
        <v>64367.67</v>
      </c>
      <c r="H742">
        <v>1</v>
      </c>
    </row>
    <row r="743" spans="1:8" x14ac:dyDescent="0.5">
      <c r="A743" s="3">
        <v>178</v>
      </c>
      <c r="B743" s="3">
        <v>91</v>
      </c>
      <c r="C743" s="3" t="str">
        <f t="shared" si="11"/>
        <v>Old</v>
      </c>
      <c r="D743" t="s">
        <v>5</v>
      </c>
      <c r="E743" t="s">
        <v>4</v>
      </c>
      <c r="F743" s="1">
        <v>45218</v>
      </c>
      <c r="G743" s="10">
        <v>39497.25</v>
      </c>
      <c r="H743">
        <v>1</v>
      </c>
    </row>
    <row r="744" spans="1:8" x14ac:dyDescent="0.5">
      <c r="A744" s="3">
        <v>211</v>
      </c>
      <c r="B744" s="3">
        <v>71</v>
      </c>
      <c r="C744" s="3" t="str">
        <f t="shared" si="11"/>
        <v>Old</v>
      </c>
      <c r="D744" t="s">
        <v>5</v>
      </c>
      <c r="E744" t="s">
        <v>1</v>
      </c>
      <c r="F744" s="1">
        <v>45271</v>
      </c>
      <c r="G744" s="10">
        <v>53892.39</v>
      </c>
      <c r="H744">
        <v>16</v>
      </c>
    </row>
    <row r="745" spans="1:8" x14ac:dyDescent="0.5">
      <c r="A745" s="3">
        <v>338</v>
      </c>
      <c r="B745" s="3">
        <v>68</v>
      </c>
      <c r="C745" s="3" t="str">
        <f t="shared" si="11"/>
        <v>Old</v>
      </c>
      <c r="D745" t="s">
        <v>5</v>
      </c>
      <c r="E745" t="s">
        <v>2</v>
      </c>
      <c r="F745" s="1">
        <v>44963</v>
      </c>
      <c r="G745" s="10">
        <v>64318.78</v>
      </c>
      <c r="H745">
        <v>24</v>
      </c>
    </row>
    <row r="746" spans="1:8" x14ac:dyDescent="0.5">
      <c r="A746" s="3">
        <v>312</v>
      </c>
      <c r="B746" s="3">
        <v>23</v>
      </c>
      <c r="C746" s="3" t="str">
        <f t="shared" si="11"/>
        <v>Young</v>
      </c>
      <c r="D746" t="s">
        <v>3</v>
      </c>
      <c r="E746" t="s">
        <v>1</v>
      </c>
      <c r="F746" s="1">
        <v>45089</v>
      </c>
      <c r="G746" s="10">
        <v>84488.37</v>
      </c>
      <c r="H746">
        <v>24</v>
      </c>
    </row>
    <row r="747" spans="1:8" x14ac:dyDescent="0.5">
      <c r="A747" s="3">
        <v>495</v>
      </c>
      <c r="B747" s="3">
        <v>97</v>
      </c>
      <c r="C747" s="3" t="str">
        <f t="shared" si="11"/>
        <v>Old</v>
      </c>
      <c r="D747" t="s">
        <v>5</v>
      </c>
      <c r="E747" t="s">
        <v>4</v>
      </c>
      <c r="F747" s="1">
        <v>45033</v>
      </c>
      <c r="G747" s="10">
        <v>37722.35</v>
      </c>
      <c r="H747">
        <v>18</v>
      </c>
    </row>
    <row r="748" spans="1:8" x14ac:dyDescent="0.5">
      <c r="A748" s="3">
        <v>274</v>
      </c>
      <c r="B748" s="3">
        <v>42</v>
      </c>
      <c r="C748" s="3" t="str">
        <f t="shared" si="11"/>
        <v>Middle Age</v>
      </c>
      <c r="D748" t="s">
        <v>5</v>
      </c>
      <c r="E748" t="s">
        <v>4</v>
      </c>
      <c r="F748" s="1">
        <v>44995</v>
      </c>
      <c r="G748" s="10">
        <v>53171.33</v>
      </c>
      <c r="H748">
        <v>3</v>
      </c>
    </row>
    <row r="749" spans="1:8" x14ac:dyDescent="0.5">
      <c r="A749" s="3">
        <v>457</v>
      </c>
      <c r="B749" s="3">
        <v>23</v>
      </c>
      <c r="C749" s="3" t="str">
        <f t="shared" si="11"/>
        <v>Young</v>
      </c>
      <c r="D749" t="s">
        <v>3</v>
      </c>
      <c r="E749" t="s">
        <v>2</v>
      </c>
      <c r="F749" s="1">
        <v>44956</v>
      </c>
      <c r="G749" s="10">
        <v>53518.05</v>
      </c>
      <c r="H749">
        <v>0</v>
      </c>
    </row>
    <row r="750" spans="1:8" x14ac:dyDescent="0.5">
      <c r="A750" s="3">
        <v>375</v>
      </c>
      <c r="B750" s="3">
        <v>55</v>
      </c>
      <c r="C750" s="3" t="str">
        <f t="shared" si="11"/>
        <v>Middle Age</v>
      </c>
      <c r="D750" t="s">
        <v>3</v>
      </c>
      <c r="E750" t="s">
        <v>4</v>
      </c>
      <c r="F750" s="1">
        <v>44927</v>
      </c>
      <c r="G750" s="10">
        <v>18325.96</v>
      </c>
      <c r="H750">
        <v>1</v>
      </c>
    </row>
    <row r="751" spans="1:8" x14ac:dyDescent="0.5">
      <c r="A751" s="3">
        <v>78</v>
      </c>
      <c r="B751" s="3">
        <v>38</v>
      </c>
      <c r="C751" s="3" t="str">
        <f t="shared" si="11"/>
        <v>Middle Age</v>
      </c>
      <c r="D751" t="s">
        <v>3</v>
      </c>
      <c r="E751" t="s">
        <v>6</v>
      </c>
      <c r="F751" s="1">
        <v>45228</v>
      </c>
      <c r="G751" s="10">
        <v>55456.93</v>
      </c>
      <c r="H751">
        <v>28</v>
      </c>
    </row>
    <row r="752" spans="1:8" x14ac:dyDescent="0.5">
      <c r="A752" s="3">
        <v>63</v>
      </c>
      <c r="B752" s="3">
        <v>23</v>
      </c>
      <c r="C752" s="3" t="str">
        <f t="shared" si="11"/>
        <v>Young</v>
      </c>
      <c r="D752" t="s">
        <v>5</v>
      </c>
      <c r="E752" t="s">
        <v>1</v>
      </c>
      <c r="F752" s="1">
        <v>45060</v>
      </c>
      <c r="G752" s="10">
        <v>27024.36</v>
      </c>
      <c r="H752">
        <v>10</v>
      </c>
    </row>
    <row r="753" spans="1:8" x14ac:dyDescent="0.5">
      <c r="A753" s="3">
        <v>48</v>
      </c>
      <c r="B753" s="3">
        <v>72</v>
      </c>
      <c r="C753" s="3" t="str">
        <f t="shared" si="11"/>
        <v>Old</v>
      </c>
      <c r="D753" t="s">
        <v>5</v>
      </c>
      <c r="E753" t="s">
        <v>6</v>
      </c>
      <c r="F753" s="1">
        <v>45123</v>
      </c>
      <c r="G753" s="10">
        <v>2944.58</v>
      </c>
      <c r="H753">
        <v>23</v>
      </c>
    </row>
    <row r="754" spans="1:8" x14ac:dyDescent="0.5">
      <c r="A754" s="3">
        <v>70</v>
      </c>
      <c r="B754" s="3">
        <v>51</v>
      </c>
      <c r="C754" s="3" t="str">
        <f t="shared" si="11"/>
        <v>Middle Age</v>
      </c>
      <c r="D754" t="s">
        <v>3</v>
      </c>
      <c r="E754" t="s">
        <v>2</v>
      </c>
      <c r="F754" s="1">
        <v>45284</v>
      </c>
      <c r="G754" s="10">
        <v>24134.53</v>
      </c>
      <c r="H754">
        <v>12</v>
      </c>
    </row>
    <row r="755" spans="1:8" x14ac:dyDescent="0.5">
      <c r="A755" s="3">
        <v>407</v>
      </c>
      <c r="B755" s="3">
        <v>56</v>
      </c>
      <c r="C755" s="3" t="str">
        <f t="shared" si="11"/>
        <v>Old</v>
      </c>
      <c r="D755" t="s">
        <v>3</v>
      </c>
      <c r="E755" t="s">
        <v>6</v>
      </c>
      <c r="F755" s="1">
        <v>45120</v>
      </c>
      <c r="G755" s="10">
        <v>875.98</v>
      </c>
      <c r="H755">
        <v>2</v>
      </c>
    </row>
    <row r="756" spans="1:8" x14ac:dyDescent="0.5">
      <c r="A756" s="3">
        <v>41</v>
      </c>
      <c r="B756" s="3">
        <v>51</v>
      </c>
      <c r="C756" s="3" t="str">
        <f t="shared" si="11"/>
        <v>Middle Age</v>
      </c>
      <c r="D756" t="s">
        <v>5</v>
      </c>
      <c r="E756" t="s">
        <v>0</v>
      </c>
      <c r="F756" s="1">
        <v>45204</v>
      </c>
      <c r="G756" s="10">
        <v>9821.69</v>
      </c>
      <c r="H756">
        <v>4</v>
      </c>
    </row>
    <row r="757" spans="1:8" x14ac:dyDescent="0.5">
      <c r="A757" s="3">
        <v>308</v>
      </c>
      <c r="B757" s="3">
        <v>60</v>
      </c>
      <c r="C757" s="3" t="str">
        <f t="shared" si="11"/>
        <v>Old</v>
      </c>
      <c r="D757" t="s">
        <v>5</v>
      </c>
      <c r="E757" t="s">
        <v>6</v>
      </c>
      <c r="F757" s="1">
        <v>44962</v>
      </c>
      <c r="G757" s="10">
        <v>37151.629999999997</v>
      </c>
      <c r="H757">
        <v>21</v>
      </c>
    </row>
    <row r="758" spans="1:8" x14ac:dyDescent="0.5">
      <c r="A758" s="3">
        <v>467</v>
      </c>
      <c r="B758" s="3">
        <v>23</v>
      </c>
      <c r="C758" s="3" t="str">
        <f t="shared" si="11"/>
        <v>Young</v>
      </c>
      <c r="D758" t="s">
        <v>3</v>
      </c>
      <c r="E758" t="s">
        <v>2</v>
      </c>
      <c r="F758" s="1">
        <v>45172</v>
      </c>
      <c r="G758" s="10">
        <v>36936.43</v>
      </c>
      <c r="H758">
        <v>3</v>
      </c>
    </row>
    <row r="759" spans="1:8" x14ac:dyDescent="0.5">
      <c r="A759" s="3">
        <v>430</v>
      </c>
      <c r="B759" s="3">
        <v>23</v>
      </c>
      <c r="C759" s="3" t="str">
        <f t="shared" si="11"/>
        <v>Young</v>
      </c>
      <c r="D759" t="s">
        <v>5</v>
      </c>
      <c r="E759" t="s">
        <v>2</v>
      </c>
      <c r="F759" s="1">
        <v>45090</v>
      </c>
      <c r="G759" s="10">
        <v>2047.06</v>
      </c>
      <c r="H759">
        <v>9</v>
      </c>
    </row>
    <row r="760" spans="1:8" x14ac:dyDescent="0.5">
      <c r="A760" s="3">
        <v>438</v>
      </c>
      <c r="B760" s="3">
        <v>45</v>
      </c>
      <c r="C760" s="3" t="str">
        <f t="shared" si="11"/>
        <v>Middle Age</v>
      </c>
      <c r="D760" t="s">
        <v>3</v>
      </c>
      <c r="E760" t="s">
        <v>1</v>
      </c>
      <c r="F760" s="1">
        <v>45326</v>
      </c>
      <c r="G760" s="10">
        <v>22387.9</v>
      </c>
      <c r="H760">
        <v>5</v>
      </c>
    </row>
    <row r="761" spans="1:8" x14ac:dyDescent="0.5">
      <c r="A761" s="3">
        <v>33</v>
      </c>
      <c r="B761" s="3">
        <v>44</v>
      </c>
      <c r="C761" s="3" t="str">
        <f t="shared" si="11"/>
        <v>Middle Age</v>
      </c>
      <c r="D761" t="s">
        <v>5</v>
      </c>
      <c r="E761" t="s">
        <v>4</v>
      </c>
      <c r="F761" s="1">
        <v>45192</v>
      </c>
      <c r="G761" s="10">
        <v>10202.49</v>
      </c>
      <c r="H761">
        <v>23</v>
      </c>
    </row>
    <row r="762" spans="1:8" x14ac:dyDescent="0.5">
      <c r="A762" s="3">
        <v>181</v>
      </c>
      <c r="B762" s="3">
        <v>56</v>
      </c>
      <c r="C762" s="3" t="str">
        <f t="shared" si="11"/>
        <v>Old</v>
      </c>
      <c r="D762" t="s">
        <v>5</v>
      </c>
      <c r="E762" t="s">
        <v>2</v>
      </c>
      <c r="F762" s="1">
        <v>45103</v>
      </c>
      <c r="G762" s="10">
        <v>19066.95</v>
      </c>
      <c r="H762">
        <v>0</v>
      </c>
    </row>
    <row r="763" spans="1:8" x14ac:dyDescent="0.5">
      <c r="A763" s="3">
        <v>372</v>
      </c>
      <c r="B763" s="3">
        <v>69</v>
      </c>
      <c r="C763" s="3" t="str">
        <f t="shared" si="11"/>
        <v>Old</v>
      </c>
      <c r="D763" t="s">
        <v>5</v>
      </c>
      <c r="E763" t="s">
        <v>4</v>
      </c>
      <c r="F763" s="1">
        <v>45139</v>
      </c>
      <c r="G763" s="10">
        <v>74117.53</v>
      </c>
      <c r="H763">
        <v>11</v>
      </c>
    </row>
    <row r="764" spans="1:8" x14ac:dyDescent="0.5">
      <c r="A764" s="3">
        <v>200</v>
      </c>
      <c r="B764" s="3">
        <v>56</v>
      </c>
      <c r="C764" s="3" t="str">
        <f t="shared" si="11"/>
        <v>Old</v>
      </c>
      <c r="D764" t="s">
        <v>3</v>
      </c>
      <c r="E764" t="s">
        <v>1</v>
      </c>
      <c r="F764" s="1">
        <v>45292</v>
      </c>
      <c r="G764" s="10">
        <v>46123.87</v>
      </c>
      <c r="H764">
        <v>2</v>
      </c>
    </row>
    <row r="765" spans="1:8" x14ac:dyDescent="0.5">
      <c r="A765" s="3">
        <v>389</v>
      </c>
      <c r="B765" s="3">
        <v>103</v>
      </c>
      <c r="C765" s="3" t="str">
        <f t="shared" si="11"/>
        <v>Old</v>
      </c>
      <c r="D765" t="s">
        <v>5</v>
      </c>
      <c r="E765" t="s">
        <v>1</v>
      </c>
      <c r="F765" s="1">
        <v>45316</v>
      </c>
      <c r="G765" s="10">
        <v>56659.74</v>
      </c>
      <c r="H765">
        <v>23</v>
      </c>
    </row>
    <row r="766" spans="1:8" x14ac:dyDescent="0.5">
      <c r="A766" s="3">
        <v>30</v>
      </c>
      <c r="B766" s="3">
        <v>98</v>
      </c>
      <c r="C766" s="3" t="str">
        <f t="shared" si="11"/>
        <v>Old</v>
      </c>
      <c r="D766" t="s">
        <v>5</v>
      </c>
      <c r="E766" t="s">
        <v>6</v>
      </c>
      <c r="F766" s="1">
        <v>45084</v>
      </c>
      <c r="G766" s="10">
        <v>77924.539999999994</v>
      </c>
      <c r="H766">
        <v>2</v>
      </c>
    </row>
    <row r="767" spans="1:8" x14ac:dyDescent="0.5">
      <c r="A767" s="3">
        <v>77</v>
      </c>
      <c r="B767" s="3">
        <v>36</v>
      </c>
      <c r="C767" s="3" t="str">
        <f t="shared" si="11"/>
        <v>Middle Age</v>
      </c>
      <c r="D767" t="s">
        <v>3</v>
      </c>
      <c r="E767" t="s">
        <v>6</v>
      </c>
      <c r="F767" s="1">
        <v>44948</v>
      </c>
      <c r="G767" s="10">
        <v>12597.36</v>
      </c>
      <c r="H767">
        <v>26</v>
      </c>
    </row>
    <row r="768" spans="1:8" x14ac:dyDescent="0.5">
      <c r="A768" s="3">
        <v>1</v>
      </c>
      <c r="B768" s="3">
        <v>62</v>
      </c>
      <c r="C768" s="3" t="str">
        <f t="shared" si="11"/>
        <v>Old</v>
      </c>
      <c r="D768" t="s">
        <v>3</v>
      </c>
      <c r="E768" t="s">
        <v>2</v>
      </c>
      <c r="F768" s="1">
        <v>45096</v>
      </c>
      <c r="G768" s="10">
        <v>50175.95</v>
      </c>
      <c r="H768">
        <v>2</v>
      </c>
    </row>
    <row r="769" spans="1:8" x14ac:dyDescent="0.5">
      <c r="A769" s="3">
        <v>230</v>
      </c>
      <c r="B769" s="3">
        <v>102</v>
      </c>
      <c r="C769" s="3" t="str">
        <f t="shared" si="11"/>
        <v>Old</v>
      </c>
      <c r="D769" t="s">
        <v>3</v>
      </c>
      <c r="E769" t="s">
        <v>0</v>
      </c>
      <c r="F769" s="1">
        <v>45307</v>
      </c>
      <c r="G769" s="10">
        <v>28418.93</v>
      </c>
      <c r="H769">
        <v>2</v>
      </c>
    </row>
    <row r="770" spans="1:8" x14ac:dyDescent="0.5">
      <c r="A770" s="3">
        <v>304</v>
      </c>
      <c r="B770" s="3">
        <v>47</v>
      </c>
      <c r="C770" s="3" t="str">
        <f t="shared" ref="C770:C833" si="12">IF(B770&lt;=30,"Young", IF(B770&lt;=55,"Middle Age",IF(B770&gt;55,"Old","Not found")))</f>
        <v>Middle Age</v>
      </c>
      <c r="D770" t="s">
        <v>3</v>
      </c>
      <c r="E770" t="s">
        <v>4</v>
      </c>
      <c r="F770" s="1">
        <v>45164</v>
      </c>
      <c r="G770" s="10">
        <v>94346.01</v>
      </c>
      <c r="H770">
        <v>13</v>
      </c>
    </row>
    <row r="771" spans="1:8" x14ac:dyDescent="0.5">
      <c r="A771" s="3">
        <v>342</v>
      </c>
      <c r="B771" s="3">
        <v>56</v>
      </c>
      <c r="C771" s="3" t="str">
        <f t="shared" si="12"/>
        <v>Old</v>
      </c>
      <c r="D771" t="s">
        <v>3</v>
      </c>
      <c r="E771" t="s">
        <v>0</v>
      </c>
      <c r="F771" s="1">
        <v>45055</v>
      </c>
      <c r="G771" s="10">
        <v>23637.360000000001</v>
      </c>
      <c r="H771">
        <v>28</v>
      </c>
    </row>
    <row r="772" spans="1:8" x14ac:dyDescent="0.5">
      <c r="A772" s="3">
        <v>279</v>
      </c>
      <c r="B772" s="3">
        <v>23</v>
      </c>
      <c r="C772" s="3" t="str">
        <f t="shared" si="12"/>
        <v>Young</v>
      </c>
      <c r="D772" t="s">
        <v>3</v>
      </c>
      <c r="E772" t="s">
        <v>4</v>
      </c>
      <c r="F772" s="1">
        <v>45188</v>
      </c>
      <c r="G772" s="10">
        <v>91077.69</v>
      </c>
      <c r="H772">
        <v>9</v>
      </c>
    </row>
    <row r="773" spans="1:8" x14ac:dyDescent="0.5">
      <c r="A773" s="3">
        <v>330</v>
      </c>
      <c r="B773" s="3">
        <v>32</v>
      </c>
      <c r="C773" s="3" t="str">
        <f t="shared" si="12"/>
        <v>Middle Age</v>
      </c>
      <c r="D773" t="s">
        <v>5</v>
      </c>
      <c r="E773" t="s">
        <v>1</v>
      </c>
      <c r="F773" s="1">
        <v>45216</v>
      </c>
      <c r="G773" s="10">
        <v>71991.320000000007</v>
      </c>
      <c r="H773">
        <v>3</v>
      </c>
    </row>
    <row r="774" spans="1:8" x14ac:dyDescent="0.5">
      <c r="A774" s="3">
        <v>479</v>
      </c>
      <c r="B774" s="3">
        <v>73</v>
      </c>
      <c r="C774" s="3" t="str">
        <f t="shared" si="12"/>
        <v>Old</v>
      </c>
      <c r="D774" t="s">
        <v>3</v>
      </c>
      <c r="E774" t="s">
        <v>1</v>
      </c>
      <c r="F774" s="1">
        <v>44998</v>
      </c>
      <c r="G774" s="10">
        <v>31502.37</v>
      </c>
      <c r="H774">
        <v>19</v>
      </c>
    </row>
    <row r="775" spans="1:8" x14ac:dyDescent="0.5">
      <c r="A775" s="3">
        <v>343</v>
      </c>
      <c r="B775" s="3">
        <v>29</v>
      </c>
      <c r="C775" s="3" t="str">
        <f t="shared" si="12"/>
        <v>Young</v>
      </c>
      <c r="D775" t="s">
        <v>3</v>
      </c>
      <c r="E775" t="s">
        <v>4</v>
      </c>
      <c r="F775" s="1">
        <v>45195</v>
      </c>
      <c r="G775" s="10">
        <v>551.30999999999995</v>
      </c>
      <c r="H775">
        <v>3</v>
      </c>
    </row>
    <row r="776" spans="1:8" x14ac:dyDescent="0.5">
      <c r="A776" s="3">
        <v>120</v>
      </c>
      <c r="B776" s="3">
        <v>56</v>
      </c>
      <c r="C776" s="3" t="str">
        <f t="shared" si="12"/>
        <v>Old</v>
      </c>
      <c r="D776" t="s">
        <v>5</v>
      </c>
      <c r="E776" t="s">
        <v>6</v>
      </c>
      <c r="F776" s="1">
        <v>45007</v>
      </c>
      <c r="G776" s="10">
        <v>18079.37</v>
      </c>
      <c r="H776">
        <v>1</v>
      </c>
    </row>
    <row r="777" spans="1:8" x14ac:dyDescent="0.5">
      <c r="A777" s="3">
        <v>438</v>
      </c>
      <c r="B777" s="3">
        <v>26</v>
      </c>
      <c r="C777" s="3" t="str">
        <f t="shared" si="12"/>
        <v>Young</v>
      </c>
      <c r="D777" t="s">
        <v>3</v>
      </c>
      <c r="E777" t="s">
        <v>0</v>
      </c>
      <c r="F777" s="1">
        <v>45075</v>
      </c>
      <c r="G777" s="10">
        <v>58015.79</v>
      </c>
      <c r="H777">
        <v>2</v>
      </c>
    </row>
    <row r="778" spans="1:8" x14ac:dyDescent="0.5">
      <c r="A778" s="3">
        <v>344</v>
      </c>
      <c r="B778" s="3">
        <v>69</v>
      </c>
      <c r="C778" s="3" t="str">
        <f t="shared" si="12"/>
        <v>Old</v>
      </c>
      <c r="D778" t="s">
        <v>3</v>
      </c>
      <c r="E778" t="s">
        <v>4</v>
      </c>
      <c r="F778" s="1">
        <v>44987</v>
      </c>
      <c r="G778" s="10">
        <v>92155.62</v>
      </c>
      <c r="H778">
        <v>16</v>
      </c>
    </row>
    <row r="779" spans="1:8" x14ac:dyDescent="0.5">
      <c r="A779" s="3">
        <v>428</v>
      </c>
      <c r="B779" s="3">
        <v>93</v>
      </c>
      <c r="C779" s="3" t="str">
        <f t="shared" si="12"/>
        <v>Old</v>
      </c>
      <c r="D779" t="s">
        <v>3</v>
      </c>
      <c r="E779" t="s">
        <v>4</v>
      </c>
      <c r="F779" s="1">
        <v>45111</v>
      </c>
      <c r="G779" s="10">
        <v>53717.45</v>
      </c>
      <c r="H779">
        <v>26</v>
      </c>
    </row>
    <row r="780" spans="1:8" x14ac:dyDescent="0.5">
      <c r="A780" s="3">
        <v>267</v>
      </c>
      <c r="B780" s="3">
        <v>75</v>
      </c>
      <c r="C780" s="3" t="str">
        <f t="shared" si="12"/>
        <v>Old</v>
      </c>
      <c r="D780" t="s">
        <v>3</v>
      </c>
      <c r="E780" t="s">
        <v>2</v>
      </c>
      <c r="F780" s="1">
        <v>45318</v>
      </c>
      <c r="G780" s="10">
        <v>47262.58</v>
      </c>
      <c r="H780">
        <v>27</v>
      </c>
    </row>
    <row r="781" spans="1:8" x14ac:dyDescent="0.5">
      <c r="A781" s="3">
        <v>137</v>
      </c>
      <c r="B781" s="3">
        <v>66</v>
      </c>
      <c r="C781" s="3" t="str">
        <f t="shared" si="12"/>
        <v>Old</v>
      </c>
      <c r="D781" t="s">
        <v>5</v>
      </c>
      <c r="E781" t="s">
        <v>0</v>
      </c>
      <c r="F781" s="1">
        <v>45076</v>
      </c>
      <c r="G781" s="10">
        <v>71450.039999999994</v>
      </c>
      <c r="H781">
        <v>25</v>
      </c>
    </row>
    <row r="782" spans="1:8" x14ac:dyDescent="0.5">
      <c r="A782" s="3">
        <v>332</v>
      </c>
      <c r="B782" s="3">
        <v>94</v>
      </c>
      <c r="C782" s="3" t="str">
        <f t="shared" si="12"/>
        <v>Old</v>
      </c>
      <c r="D782" t="s">
        <v>5</v>
      </c>
      <c r="E782" t="s">
        <v>2</v>
      </c>
      <c r="F782" s="1">
        <v>45153</v>
      </c>
      <c r="G782" s="10">
        <v>4952.6499999999996</v>
      </c>
      <c r="H782">
        <v>6</v>
      </c>
    </row>
    <row r="783" spans="1:8" x14ac:dyDescent="0.5">
      <c r="A783" s="3">
        <v>120</v>
      </c>
      <c r="B783" s="3">
        <v>79</v>
      </c>
      <c r="C783" s="3" t="str">
        <f t="shared" si="12"/>
        <v>Old</v>
      </c>
      <c r="D783" t="s">
        <v>3</v>
      </c>
      <c r="E783" t="s">
        <v>2</v>
      </c>
      <c r="F783" s="1">
        <v>45091</v>
      </c>
      <c r="G783" s="10">
        <v>60826.22</v>
      </c>
      <c r="H783">
        <v>14</v>
      </c>
    </row>
    <row r="784" spans="1:8" x14ac:dyDescent="0.5">
      <c r="A784" s="3">
        <v>296</v>
      </c>
      <c r="B784" s="3">
        <v>94</v>
      </c>
      <c r="C784" s="3" t="str">
        <f t="shared" si="12"/>
        <v>Old</v>
      </c>
      <c r="D784" t="s">
        <v>5</v>
      </c>
      <c r="E784" t="s">
        <v>1</v>
      </c>
      <c r="F784" s="1">
        <v>45029</v>
      </c>
      <c r="G784" s="10">
        <v>31278.62</v>
      </c>
      <c r="H784">
        <v>15</v>
      </c>
    </row>
    <row r="785" spans="1:8" x14ac:dyDescent="0.5">
      <c r="A785" s="3">
        <v>313</v>
      </c>
      <c r="B785" s="3">
        <v>81</v>
      </c>
      <c r="C785" s="3" t="str">
        <f t="shared" si="12"/>
        <v>Old</v>
      </c>
      <c r="D785" t="s">
        <v>5</v>
      </c>
      <c r="E785" t="s">
        <v>2</v>
      </c>
      <c r="F785" s="1">
        <v>45134</v>
      </c>
      <c r="G785" s="10">
        <v>83808.350000000006</v>
      </c>
      <c r="H785">
        <v>15</v>
      </c>
    </row>
    <row r="786" spans="1:8" x14ac:dyDescent="0.5">
      <c r="A786" s="3">
        <v>324</v>
      </c>
      <c r="B786" s="3">
        <v>50</v>
      </c>
      <c r="C786" s="3" t="str">
        <f t="shared" si="12"/>
        <v>Middle Age</v>
      </c>
      <c r="D786" t="s">
        <v>3</v>
      </c>
      <c r="E786" t="s">
        <v>0</v>
      </c>
      <c r="F786" s="1">
        <v>45005</v>
      </c>
      <c r="G786" s="10">
        <v>149.91999999999999</v>
      </c>
      <c r="H786">
        <v>1</v>
      </c>
    </row>
    <row r="787" spans="1:8" x14ac:dyDescent="0.5">
      <c r="A787" s="3">
        <v>496</v>
      </c>
      <c r="B787" s="3">
        <v>59</v>
      </c>
      <c r="C787" s="3" t="str">
        <f t="shared" si="12"/>
        <v>Old</v>
      </c>
      <c r="D787" t="s">
        <v>3</v>
      </c>
      <c r="E787" t="s">
        <v>2</v>
      </c>
      <c r="F787" s="1">
        <v>45133</v>
      </c>
      <c r="G787" s="10">
        <v>13280.68</v>
      </c>
      <c r="H787">
        <v>16</v>
      </c>
    </row>
    <row r="788" spans="1:8" x14ac:dyDescent="0.5">
      <c r="A788" s="3">
        <v>116</v>
      </c>
      <c r="B788" s="3">
        <v>43</v>
      </c>
      <c r="C788" s="3" t="str">
        <f t="shared" si="12"/>
        <v>Middle Age</v>
      </c>
      <c r="D788" t="s">
        <v>3</v>
      </c>
      <c r="E788" t="s">
        <v>2</v>
      </c>
      <c r="F788" s="1">
        <v>45065</v>
      </c>
      <c r="G788" s="10">
        <v>88168.21</v>
      </c>
      <c r="H788">
        <v>19</v>
      </c>
    </row>
    <row r="789" spans="1:8" x14ac:dyDescent="0.5">
      <c r="A789" s="3">
        <v>328</v>
      </c>
      <c r="B789" s="3">
        <v>81</v>
      </c>
      <c r="C789" s="3" t="str">
        <f t="shared" si="12"/>
        <v>Old</v>
      </c>
      <c r="D789" t="s">
        <v>5</v>
      </c>
      <c r="E789" t="s">
        <v>6</v>
      </c>
      <c r="F789" s="1">
        <v>45070</v>
      </c>
      <c r="G789" s="10">
        <v>16863.740000000002</v>
      </c>
      <c r="H789">
        <v>2</v>
      </c>
    </row>
    <row r="790" spans="1:8" x14ac:dyDescent="0.5">
      <c r="A790" s="3">
        <v>113</v>
      </c>
      <c r="B790" s="3">
        <v>56</v>
      </c>
      <c r="C790" s="3" t="str">
        <f t="shared" si="12"/>
        <v>Old</v>
      </c>
      <c r="D790" t="s">
        <v>5</v>
      </c>
      <c r="E790" t="s">
        <v>6</v>
      </c>
      <c r="F790" s="1">
        <v>44968</v>
      </c>
      <c r="G790" s="10">
        <v>64503.95</v>
      </c>
      <c r="H790">
        <v>1</v>
      </c>
    </row>
    <row r="791" spans="1:8" x14ac:dyDescent="0.5">
      <c r="A791" s="3">
        <v>273</v>
      </c>
      <c r="B791" s="3">
        <v>56</v>
      </c>
      <c r="C791" s="3" t="str">
        <f t="shared" si="12"/>
        <v>Old</v>
      </c>
      <c r="D791" t="s">
        <v>5</v>
      </c>
      <c r="E791" t="s">
        <v>0</v>
      </c>
      <c r="F791" s="1">
        <v>45101</v>
      </c>
      <c r="G791" s="10">
        <v>95370.06</v>
      </c>
      <c r="H791">
        <v>1</v>
      </c>
    </row>
    <row r="792" spans="1:8" x14ac:dyDescent="0.5">
      <c r="A792" s="3">
        <v>71</v>
      </c>
      <c r="B792" s="3">
        <v>77</v>
      </c>
      <c r="C792" s="3" t="str">
        <f t="shared" si="12"/>
        <v>Old</v>
      </c>
      <c r="D792" t="s">
        <v>3</v>
      </c>
      <c r="E792" t="s">
        <v>0</v>
      </c>
      <c r="F792" s="1">
        <v>44997</v>
      </c>
      <c r="G792" s="10">
        <v>61937.86</v>
      </c>
      <c r="H792">
        <v>2</v>
      </c>
    </row>
    <row r="793" spans="1:8" x14ac:dyDescent="0.5">
      <c r="A793" s="3">
        <v>264</v>
      </c>
      <c r="B793" s="3">
        <v>45</v>
      </c>
      <c r="C793" s="3" t="str">
        <f t="shared" si="12"/>
        <v>Middle Age</v>
      </c>
      <c r="D793" t="s">
        <v>5</v>
      </c>
      <c r="E793" t="s">
        <v>2</v>
      </c>
      <c r="F793" s="1">
        <v>45072</v>
      </c>
      <c r="G793" s="10">
        <v>45312.45</v>
      </c>
      <c r="H793">
        <v>10</v>
      </c>
    </row>
    <row r="794" spans="1:8" x14ac:dyDescent="0.5">
      <c r="A794" s="3">
        <v>334</v>
      </c>
      <c r="B794" s="3">
        <v>23</v>
      </c>
      <c r="C794" s="3" t="str">
        <f t="shared" si="12"/>
        <v>Young</v>
      </c>
      <c r="D794" t="s">
        <v>5</v>
      </c>
      <c r="E794" t="s">
        <v>6</v>
      </c>
      <c r="F794" s="1">
        <v>45148</v>
      </c>
      <c r="G794" s="10">
        <v>41907.800000000003</v>
      </c>
      <c r="H794">
        <v>3</v>
      </c>
    </row>
    <row r="795" spans="1:8" x14ac:dyDescent="0.5">
      <c r="A795" s="3">
        <v>253</v>
      </c>
      <c r="B795" s="3">
        <v>23</v>
      </c>
      <c r="C795" s="3" t="str">
        <f t="shared" si="12"/>
        <v>Young</v>
      </c>
      <c r="D795" t="s">
        <v>5</v>
      </c>
      <c r="E795" t="s">
        <v>1</v>
      </c>
      <c r="F795" s="1">
        <v>44951</v>
      </c>
      <c r="G795" s="10">
        <v>1190.17</v>
      </c>
      <c r="H795">
        <v>11</v>
      </c>
    </row>
    <row r="796" spans="1:8" x14ac:dyDescent="0.5">
      <c r="A796" s="3">
        <v>3</v>
      </c>
      <c r="B796" s="3">
        <v>90</v>
      </c>
      <c r="C796" s="3" t="str">
        <f t="shared" si="12"/>
        <v>Old</v>
      </c>
      <c r="D796" t="s">
        <v>5</v>
      </c>
      <c r="E796" t="s">
        <v>1</v>
      </c>
      <c r="F796" s="1">
        <v>45098</v>
      </c>
      <c r="G796" s="10">
        <v>92021.19</v>
      </c>
      <c r="H796">
        <v>3</v>
      </c>
    </row>
    <row r="797" spans="1:8" x14ac:dyDescent="0.5">
      <c r="A797" s="3">
        <v>360</v>
      </c>
      <c r="B797" s="3">
        <v>30</v>
      </c>
      <c r="C797" s="3" t="str">
        <f t="shared" si="12"/>
        <v>Young</v>
      </c>
      <c r="D797" t="s">
        <v>3</v>
      </c>
      <c r="E797" t="s">
        <v>1</v>
      </c>
      <c r="F797" s="1">
        <v>45043</v>
      </c>
      <c r="G797" s="10">
        <v>65200.86</v>
      </c>
      <c r="H797">
        <v>22</v>
      </c>
    </row>
    <row r="798" spans="1:8" x14ac:dyDescent="0.5">
      <c r="A798" s="3">
        <v>133</v>
      </c>
      <c r="B798" s="3">
        <v>56</v>
      </c>
      <c r="C798" s="3" t="str">
        <f t="shared" si="12"/>
        <v>Old</v>
      </c>
      <c r="D798" t="s">
        <v>5</v>
      </c>
      <c r="E798" t="s">
        <v>1</v>
      </c>
      <c r="F798" s="1">
        <v>45167</v>
      </c>
      <c r="G798" s="10">
        <v>87201.54</v>
      </c>
      <c r="H798">
        <v>0</v>
      </c>
    </row>
    <row r="799" spans="1:8" x14ac:dyDescent="0.5">
      <c r="A799" s="3">
        <v>451</v>
      </c>
      <c r="B799" s="3">
        <v>60</v>
      </c>
      <c r="C799" s="3" t="str">
        <f t="shared" si="12"/>
        <v>Old</v>
      </c>
      <c r="D799" t="s">
        <v>3</v>
      </c>
      <c r="E799" t="s">
        <v>4</v>
      </c>
      <c r="F799" s="1">
        <v>45113</v>
      </c>
      <c r="G799" s="10">
        <v>69807.100000000006</v>
      </c>
      <c r="H799">
        <v>27</v>
      </c>
    </row>
    <row r="800" spans="1:8" x14ac:dyDescent="0.5">
      <c r="A800" s="3">
        <v>30</v>
      </c>
      <c r="B800" s="3">
        <v>86</v>
      </c>
      <c r="C800" s="3" t="str">
        <f t="shared" si="12"/>
        <v>Old</v>
      </c>
      <c r="D800" t="s">
        <v>3</v>
      </c>
      <c r="E800" t="s">
        <v>6</v>
      </c>
      <c r="F800" s="1">
        <v>45139</v>
      </c>
      <c r="G800" s="10">
        <v>44805.19</v>
      </c>
      <c r="H800">
        <v>27</v>
      </c>
    </row>
    <row r="801" spans="1:8" x14ac:dyDescent="0.5">
      <c r="A801" s="3">
        <v>230</v>
      </c>
      <c r="B801" s="3">
        <v>23</v>
      </c>
      <c r="C801" s="3" t="str">
        <f t="shared" si="12"/>
        <v>Young</v>
      </c>
      <c r="D801" t="s">
        <v>5</v>
      </c>
      <c r="E801" t="s">
        <v>0</v>
      </c>
      <c r="F801" s="1">
        <v>45060</v>
      </c>
      <c r="G801" s="10">
        <v>72333.929999999993</v>
      </c>
      <c r="H801">
        <v>10</v>
      </c>
    </row>
    <row r="802" spans="1:8" x14ac:dyDescent="0.5">
      <c r="A802" s="3">
        <v>334</v>
      </c>
      <c r="B802" s="3">
        <v>54</v>
      </c>
      <c r="C802" s="3" t="str">
        <f t="shared" si="12"/>
        <v>Middle Age</v>
      </c>
      <c r="D802" t="s">
        <v>5</v>
      </c>
      <c r="E802" t="s">
        <v>0</v>
      </c>
      <c r="F802" s="1">
        <v>45195</v>
      </c>
      <c r="G802" s="10">
        <v>80411.23</v>
      </c>
      <c r="H802">
        <v>19</v>
      </c>
    </row>
    <row r="803" spans="1:8" x14ac:dyDescent="0.5">
      <c r="A803" s="3">
        <v>192</v>
      </c>
      <c r="B803" s="3">
        <v>23</v>
      </c>
      <c r="C803" s="3" t="str">
        <f t="shared" si="12"/>
        <v>Young</v>
      </c>
      <c r="D803" t="s">
        <v>5</v>
      </c>
      <c r="E803" t="s">
        <v>2</v>
      </c>
      <c r="F803" s="1">
        <v>45204</v>
      </c>
      <c r="G803" s="10">
        <v>465.06</v>
      </c>
      <c r="H803">
        <v>8</v>
      </c>
    </row>
    <row r="804" spans="1:8" x14ac:dyDescent="0.5">
      <c r="A804" s="3">
        <v>281</v>
      </c>
      <c r="B804" s="3">
        <v>23</v>
      </c>
      <c r="C804" s="3" t="str">
        <f t="shared" si="12"/>
        <v>Young</v>
      </c>
      <c r="D804" t="s">
        <v>3</v>
      </c>
      <c r="E804" t="s">
        <v>2</v>
      </c>
      <c r="F804" s="1">
        <v>44940</v>
      </c>
      <c r="G804" s="10">
        <v>34144.81</v>
      </c>
      <c r="H804">
        <v>4</v>
      </c>
    </row>
    <row r="805" spans="1:8" x14ac:dyDescent="0.5">
      <c r="A805" s="3">
        <v>193</v>
      </c>
      <c r="B805" s="3">
        <v>23</v>
      </c>
      <c r="C805" s="3" t="str">
        <f t="shared" si="12"/>
        <v>Young</v>
      </c>
      <c r="D805" t="s">
        <v>5</v>
      </c>
      <c r="E805" t="s">
        <v>1</v>
      </c>
      <c r="F805" s="1">
        <v>45317</v>
      </c>
      <c r="G805" s="10">
        <v>82528.37</v>
      </c>
      <c r="H805">
        <v>7</v>
      </c>
    </row>
    <row r="806" spans="1:8" x14ac:dyDescent="0.5">
      <c r="A806" s="3">
        <v>214</v>
      </c>
      <c r="B806" s="3">
        <v>61</v>
      </c>
      <c r="C806" s="3" t="str">
        <f t="shared" si="12"/>
        <v>Old</v>
      </c>
      <c r="D806" t="s">
        <v>5</v>
      </c>
      <c r="E806" t="s">
        <v>4</v>
      </c>
      <c r="F806" s="1">
        <v>45068</v>
      </c>
      <c r="G806" s="10">
        <v>75169.11</v>
      </c>
      <c r="H806">
        <v>22</v>
      </c>
    </row>
    <row r="807" spans="1:8" x14ac:dyDescent="0.5">
      <c r="A807" s="3">
        <v>356</v>
      </c>
      <c r="B807" s="3">
        <v>60</v>
      </c>
      <c r="C807" s="3" t="str">
        <f t="shared" si="12"/>
        <v>Old</v>
      </c>
      <c r="D807" t="s">
        <v>5</v>
      </c>
      <c r="E807" t="s">
        <v>0</v>
      </c>
      <c r="F807" s="1">
        <v>45039</v>
      </c>
      <c r="G807" s="10">
        <v>63456.22</v>
      </c>
      <c r="H807">
        <v>0</v>
      </c>
    </row>
    <row r="808" spans="1:8" x14ac:dyDescent="0.5">
      <c r="A808" s="3">
        <v>108</v>
      </c>
      <c r="B808" s="3">
        <v>23</v>
      </c>
      <c r="C808" s="3" t="str">
        <f t="shared" si="12"/>
        <v>Young</v>
      </c>
      <c r="D808" t="s">
        <v>3</v>
      </c>
      <c r="E808" t="s">
        <v>0</v>
      </c>
      <c r="F808" s="1">
        <v>45129</v>
      </c>
      <c r="G808" s="10">
        <v>89770.28</v>
      </c>
      <c r="H808">
        <v>21</v>
      </c>
    </row>
    <row r="809" spans="1:8" x14ac:dyDescent="0.5">
      <c r="A809" s="3">
        <v>240</v>
      </c>
      <c r="B809" s="3">
        <v>65</v>
      </c>
      <c r="C809" s="3" t="str">
        <f t="shared" si="12"/>
        <v>Old</v>
      </c>
      <c r="D809" t="s">
        <v>5</v>
      </c>
      <c r="E809" t="s">
        <v>0</v>
      </c>
      <c r="F809" s="1">
        <v>45010</v>
      </c>
      <c r="G809" s="10">
        <v>10564.7</v>
      </c>
      <c r="H809">
        <v>28</v>
      </c>
    </row>
    <row r="810" spans="1:8" x14ac:dyDescent="0.5">
      <c r="A810" s="3">
        <v>219</v>
      </c>
      <c r="B810" s="3">
        <v>45</v>
      </c>
      <c r="C810" s="3" t="str">
        <f t="shared" si="12"/>
        <v>Middle Age</v>
      </c>
      <c r="D810" t="s">
        <v>3</v>
      </c>
      <c r="E810" t="s">
        <v>4</v>
      </c>
      <c r="F810" s="1">
        <v>45323</v>
      </c>
      <c r="G810" s="10">
        <v>99691.04</v>
      </c>
      <c r="H810">
        <v>21</v>
      </c>
    </row>
    <row r="811" spans="1:8" x14ac:dyDescent="0.5">
      <c r="A811" s="3">
        <v>222</v>
      </c>
      <c r="B811" s="3">
        <v>48</v>
      </c>
      <c r="C811" s="3" t="str">
        <f t="shared" si="12"/>
        <v>Middle Age</v>
      </c>
      <c r="D811" t="s">
        <v>5</v>
      </c>
      <c r="E811" t="s">
        <v>0</v>
      </c>
      <c r="F811" s="1">
        <v>45091</v>
      </c>
      <c r="G811" s="10">
        <v>77418.240000000005</v>
      </c>
      <c r="H811">
        <v>28</v>
      </c>
    </row>
    <row r="812" spans="1:8" x14ac:dyDescent="0.5">
      <c r="A812" s="3">
        <v>133</v>
      </c>
      <c r="B812" s="3">
        <v>29</v>
      </c>
      <c r="C812" s="3" t="str">
        <f t="shared" si="12"/>
        <v>Young</v>
      </c>
      <c r="D812" t="s">
        <v>5</v>
      </c>
      <c r="E812" t="s">
        <v>1</v>
      </c>
      <c r="F812" s="1">
        <v>45320</v>
      </c>
      <c r="G812" s="10">
        <v>95934.33</v>
      </c>
      <c r="H812">
        <v>14</v>
      </c>
    </row>
    <row r="813" spans="1:8" x14ac:dyDescent="0.5">
      <c r="A813" s="3">
        <v>150</v>
      </c>
      <c r="B813" s="3">
        <v>58</v>
      </c>
      <c r="C813" s="3" t="str">
        <f t="shared" si="12"/>
        <v>Old</v>
      </c>
      <c r="D813" t="s">
        <v>5</v>
      </c>
      <c r="E813" t="s">
        <v>4</v>
      </c>
      <c r="F813" s="1">
        <v>44994</v>
      </c>
      <c r="G813" s="10">
        <v>7719.6</v>
      </c>
      <c r="H813">
        <v>3</v>
      </c>
    </row>
    <row r="814" spans="1:8" x14ac:dyDescent="0.5">
      <c r="A814" s="3">
        <v>156</v>
      </c>
      <c r="B814" s="3">
        <v>60</v>
      </c>
      <c r="C814" s="3" t="str">
        <f t="shared" si="12"/>
        <v>Old</v>
      </c>
      <c r="D814" t="s">
        <v>5</v>
      </c>
      <c r="E814" t="s">
        <v>0</v>
      </c>
      <c r="F814" s="1">
        <v>45197</v>
      </c>
      <c r="G814" s="10">
        <v>20413.11</v>
      </c>
      <c r="H814">
        <v>13</v>
      </c>
    </row>
    <row r="815" spans="1:8" x14ac:dyDescent="0.5">
      <c r="A815" s="3">
        <v>429</v>
      </c>
      <c r="B815" s="3">
        <v>87</v>
      </c>
      <c r="C815" s="3" t="str">
        <f t="shared" si="12"/>
        <v>Old</v>
      </c>
      <c r="D815" t="s">
        <v>3</v>
      </c>
      <c r="E815" t="s">
        <v>4</v>
      </c>
      <c r="F815" s="1">
        <v>45123</v>
      </c>
      <c r="G815" s="10">
        <v>64065.63</v>
      </c>
      <c r="H815">
        <v>3</v>
      </c>
    </row>
    <row r="816" spans="1:8" x14ac:dyDescent="0.5">
      <c r="A816" s="3">
        <v>377</v>
      </c>
      <c r="B816" s="3">
        <v>103</v>
      </c>
      <c r="C816" s="3" t="str">
        <f t="shared" si="12"/>
        <v>Old</v>
      </c>
      <c r="D816" t="s">
        <v>3</v>
      </c>
      <c r="E816" t="s">
        <v>1</v>
      </c>
      <c r="F816" s="1">
        <v>44945</v>
      </c>
      <c r="G816" s="10">
        <v>61144.75</v>
      </c>
      <c r="H816">
        <v>20</v>
      </c>
    </row>
    <row r="817" spans="1:8" x14ac:dyDescent="0.5">
      <c r="A817" s="3">
        <v>459</v>
      </c>
      <c r="B817" s="3">
        <v>83</v>
      </c>
      <c r="C817" s="3" t="str">
        <f t="shared" si="12"/>
        <v>Old</v>
      </c>
      <c r="D817" t="s">
        <v>3</v>
      </c>
      <c r="E817" t="s">
        <v>0</v>
      </c>
      <c r="F817" s="1">
        <v>45243</v>
      </c>
      <c r="G817" s="10">
        <v>19332.39</v>
      </c>
      <c r="H817">
        <v>2</v>
      </c>
    </row>
    <row r="818" spans="1:8" x14ac:dyDescent="0.5">
      <c r="A818" s="3">
        <v>412</v>
      </c>
      <c r="B818" s="3">
        <v>28</v>
      </c>
      <c r="C818" s="3" t="str">
        <f t="shared" si="12"/>
        <v>Young</v>
      </c>
      <c r="D818" t="s">
        <v>3</v>
      </c>
      <c r="E818" t="s">
        <v>1</v>
      </c>
      <c r="F818" s="1">
        <v>45115</v>
      </c>
      <c r="G818" s="10">
        <v>99864.24</v>
      </c>
      <c r="H818">
        <v>9</v>
      </c>
    </row>
    <row r="819" spans="1:8" x14ac:dyDescent="0.5">
      <c r="A819" s="3">
        <v>449</v>
      </c>
      <c r="B819" s="3">
        <v>102</v>
      </c>
      <c r="C819" s="3" t="str">
        <f t="shared" si="12"/>
        <v>Old</v>
      </c>
      <c r="D819" t="s">
        <v>5</v>
      </c>
      <c r="E819" t="s">
        <v>1</v>
      </c>
      <c r="F819" s="1">
        <v>45197</v>
      </c>
      <c r="G819" s="10">
        <v>8250.7199999999993</v>
      </c>
      <c r="H819">
        <v>29</v>
      </c>
    </row>
    <row r="820" spans="1:8" x14ac:dyDescent="0.5">
      <c r="A820" s="3">
        <v>86</v>
      </c>
      <c r="B820" s="3">
        <v>81</v>
      </c>
      <c r="C820" s="3" t="str">
        <f t="shared" si="12"/>
        <v>Old</v>
      </c>
      <c r="D820" t="s">
        <v>3</v>
      </c>
      <c r="E820" t="s">
        <v>4</v>
      </c>
      <c r="F820" s="1">
        <v>45011</v>
      </c>
      <c r="G820" s="10">
        <v>62107.44</v>
      </c>
      <c r="H820">
        <v>11</v>
      </c>
    </row>
    <row r="821" spans="1:8" x14ac:dyDescent="0.5">
      <c r="A821" s="3">
        <v>282</v>
      </c>
      <c r="B821" s="3">
        <v>42</v>
      </c>
      <c r="C821" s="3" t="str">
        <f t="shared" si="12"/>
        <v>Middle Age</v>
      </c>
      <c r="D821" t="s">
        <v>5</v>
      </c>
      <c r="E821" t="s">
        <v>6</v>
      </c>
      <c r="F821" s="1">
        <v>45266</v>
      </c>
      <c r="G821" s="10">
        <v>29698.68</v>
      </c>
      <c r="H821">
        <v>28</v>
      </c>
    </row>
    <row r="822" spans="1:8" x14ac:dyDescent="0.5">
      <c r="A822" s="3">
        <v>366</v>
      </c>
      <c r="B822" s="3">
        <v>23</v>
      </c>
      <c r="C822" s="3" t="str">
        <f t="shared" si="12"/>
        <v>Young</v>
      </c>
      <c r="D822" t="s">
        <v>5</v>
      </c>
      <c r="E822" t="s">
        <v>6</v>
      </c>
      <c r="F822" s="1">
        <v>45135</v>
      </c>
      <c r="G822" s="10">
        <v>76259.73</v>
      </c>
      <c r="H822">
        <v>23</v>
      </c>
    </row>
    <row r="823" spans="1:8" x14ac:dyDescent="0.5">
      <c r="A823" s="3">
        <v>452</v>
      </c>
      <c r="B823" s="3">
        <v>24</v>
      </c>
      <c r="C823" s="3" t="str">
        <f t="shared" si="12"/>
        <v>Young</v>
      </c>
      <c r="D823" t="s">
        <v>3</v>
      </c>
      <c r="E823" t="s">
        <v>2</v>
      </c>
      <c r="F823" s="1">
        <v>45063</v>
      </c>
      <c r="G823" s="10">
        <v>29385.03</v>
      </c>
      <c r="H823">
        <v>22</v>
      </c>
    </row>
    <row r="824" spans="1:8" x14ac:dyDescent="0.5">
      <c r="A824" s="3">
        <v>6</v>
      </c>
      <c r="B824" s="3">
        <v>37</v>
      </c>
      <c r="C824" s="3" t="str">
        <f t="shared" si="12"/>
        <v>Middle Age</v>
      </c>
      <c r="D824" t="s">
        <v>5</v>
      </c>
      <c r="E824" t="s">
        <v>0</v>
      </c>
      <c r="F824" s="1">
        <v>45082</v>
      </c>
      <c r="G824" s="10">
        <v>34848.01</v>
      </c>
      <c r="H824">
        <v>27</v>
      </c>
    </row>
    <row r="825" spans="1:8" x14ac:dyDescent="0.5">
      <c r="A825" s="3">
        <v>174</v>
      </c>
      <c r="B825" s="3">
        <v>60</v>
      </c>
      <c r="C825" s="3" t="str">
        <f t="shared" si="12"/>
        <v>Old</v>
      </c>
      <c r="D825" t="s">
        <v>5</v>
      </c>
      <c r="E825" t="s">
        <v>6</v>
      </c>
      <c r="F825" s="1">
        <v>45012</v>
      </c>
      <c r="G825" s="10">
        <v>44029.53</v>
      </c>
      <c r="H825">
        <v>19</v>
      </c>
    </row>
    <row r="826" spans="1:8" x14ac:dyDescent="0.5">
      <c r="A826" s="3">
        <v>274</v>
      </c>
      <c r="B826" s="3">
        <v>52</v>
      </c>
      <c r="C826" s="3" t="str">
        <f t="shared" si="12"/>
        <v>Middle Age</v>
      </c>
      <c r="D826" t="s">
        <v>3</v>
      </c>
      <c r="E826" t="s">
        <v>4</v>
      </c>
      <c r="F826" s="1">
        <v>44977</v>
      </c>
      <c r="G826" s="10">
        <v>42509.54</v>
      </c>
      <c r="H826">
        <v>26</v>
      </c>
    </row>
    <row r="827" spans="1:8" x14ac:dyDescent="0.5">
      <c r="A827" s="3">
        <v>331</v>
      </c>
      <c r="B827" s="3">
        <v>65</v>
      </c>
      <c r="C827" s="3" t="str">
        <f t="shared" si="12"/>
        <v>Old</v>
      </c>
      <c r="D827" t="s">
        <v>3</v>
      </c>
      <c r="E827" t="s">
        <v>1</v>
      </c>
      <c r="F827" s="1">
        <v>45067</v>
      </c>
      <c r="G827" s="10">
        <v>49665.8</v>
      </c>
      <c r="H827">
        <v>9</v>
      </c>
    </row>
    <row r="828" spans="1:8" x14ac:dyDescent="0.5">
      <c r="A828" s="3">
        <v>296</v>
      </c>
      <c r="B828" s="3">
        <v>93</v>
      </c>
      <c r="C828" s="3" t="str">
        <f t="shared" si="12"/>
        <v>Old</v>
      </c>
      <c r="D828" t="s">
        <v>5</v>
      </c>
      <c r="E828" t="s">
        <v>2</v>
      </c>
      <c r="F828" s="1">
        <v>45058</v>
      </c>
      <c r="G828" s="10">
        <v>19561.900000000001</v>
      </c>
      <c r="H828">
        <v>11</v>
      </c>
    </row>
    <row r="829" spans="1:8" x14ac:dyDescent="0.5">
      <c r="A829" s="3">
        <v>195</v>
      </c>
      <c r="B829" s="3">
        <v>25</v>
      </c>
      <c r="C829" s="3" t="str">
        <f t="shared" si="12"/>
        <v>Young</v>
      </c>
      <c r="D829" t="s">
        <v>3</v>
      </c>
      <c r="E829" t="s">
        <v>4</v>
      </c>
      <c r="F829" s="1">
        <v>45242</v>
      </c>
      <c r="G829" s="10">
        <v>40371.71</v>
      </c>
      <c r="H829">
        <v>18</v>
      </c>
    </row>
    <row r="830" spans="1:8" x14ac:dyDescent="0.5">
      <c r="A830" s="3">
        <v>468</v>
      </c>
      <c r="B830" s="3">
        <v>50</v>
      </c>
      <c r="C830" s="3" t="str">
        <f t="shared" si="12"/>
        <v>Middle Age</v>
      </c>
      <c r="D830" t="s">
        <v>5</v>
      </c>
      <c r="E830" t="s">
        <v>4</v>
      </c>
      <c r="F830" s="1">
        <v>45032</v>
      </c>
      <c r="G830" s="10">
        <v>27055.25</v>
      </c>
      <c r="H830">
        <v>10</v>
      </c>
    </row>
    <row r="831" spans="1:8" x14ac:dyDescent="0.5">
      <c r="A831" s="3">
        <v>471</v>
      </c>
      <c r="B831" s="3">
        <v>42</v>
      </c>
      <c r="C831" s="3" t="str">
        <f t="shared" si="12"/>
        <v>Middle Age</v>
      </c>
      <c r="D831" t="s">
        <v>3</v>
      </c>
      <c r="E831" t="s">
        <v>6</v>
      </c>
      <c r="F831" s="1">
        <v>45100</v>
      </c>
      <c r="G831" s="10">
        <v>79907.850000000006</v>
      </c>
      <c r="H831">
        <v>4</v>
      </c>
    </row>
    <row r="832" spans="1:8" x14ac:dyDescent="0.5">
      <c r="A832" s="3">
        <v>333</v>
      </c>
      <c r="B832" s="3">
        <v>40</v>
      </c>
      <c r="C832" s="3" t="str">
        <f t="shared" si="12"/>
        <v>Middle Age</v>
      </c>
      <c r="D832" t="s">
        <v>5</v>
      </c>
      <c r="E832" t="s">
        <v>0</v>
      </c>
      <c r="F832" s="1">
        <v>45073</v>
      </c>
      <c r="G832" s="10">
        <v>75262.39</v>
      </c>
      <c r="H832">
        <v>9</v>
      </c>
    </row>
    <row r="833" spans="1:8" x14ac:dyDescent="0.5">
      <c r="A833" s="3">
        <v>53</v>
      </c>
      <c r="B833" s="3">
        <v>23</v>
      </c>
      <c r="C833" s="3" t="str">
        <f t="shared" si="12"/>
        <v>Young</v>
      </c>
      <c r="D833" t="s">
        <v>3</v>
      </c>
      <c r="E833" t="s">
        <v>6</v>
      </c>
      <c r="F833" s="1">
        <v>45132</v>
      </c>
      <c r="G833" s="10">
        <v>19227.2</v>
      </c>
      <c r="H833">
        <v>11</v>
      </c>
    </row>
    <row r="834" spans="1:8" x14ac:dyDescent="0.5">
      <c r="A834" s="3">
        <v>281</v>
      </c>
      <c r="B834" s="3">
        <v>23</v>
      </c>
      <c r="C834" s="3" t="str">
        <f t="shared" ref="C834:C897" si="13">IF(B834&lt;=30,"Young", IF(B834&lt;=55,"Middle Age",IF(B834&gt;55,"Old","Not found")))</f>
        <v>Young</v>
      </c>
      <c r="D834" t="s">
        <v>5</v>
      </c>
      <c r="E834" t="s">
        <v>1</v>
      </c>
      <c r="F834" s="1">
        <v>45057</v>
      </c>
      <c r="G834" s="10">
        <v>39534.99</v>
      </c>
      <c r="H834">
        <v>23</v>
      </c>
    </row>
    <row r="835" spans="1:8" x14ac:dyDescent="0.5">
      <c r="A835" s="3">
        <v>3</v>
      </c>
      <c r="B835" s="3">
        <v>96</v>
      </c>
      <c r="C835" s="3" t="str">
        <f t="shared" si="13"/>
        <v>Old</v>
      </c>
      <c r="D835" t="s">
        <v>5</v>
      </c>
      <c r="E835" t="s">
        <v>4</v>
      </c>
      <c r="F835" s="1">
        <v>45274</v>
      </c>
      <c r="G835" s="10">
        <v>70195.33</v>
      </c>
      <c r="H835">
        <v>0</v>
      </c>
    </row>
    <row r="836" spans="1:8" x14ac:dyDescent="0.5">
      <c r="A836" s="3">
        <v>200</v>
      </c>
      <c r="B836" s="3">
        <v>98</v>
      </c>
      <c r="C836" s="3" t="str">
        <f t="shared" si="13"/>
        <v>Old</v>
      </c>
      <c r="D836" t="s">
        <v>5</v>
      </c>
      <c r="E836" t="s">
        <v>0</v>
      </c>
      <c r="F836" s="1">
        <v>45167</v>
      </c>
      <c r="G836" s="10">
        <v>3364</v>
      </c>
      <c r="H836">
        <v>8</v>
      </c>
    </row>
    <row r="837" spans="1:8" x14ac:dyDescent="0.5">
      <c r="A837" s="3">
        <v>477</v>
      </c>
      <c r="B837" s="3">
        <v>52</v>
      </c>
      <c r="C837" s="3" t="str">
        <f t="shared" si="13"/>
        <v>Middle Age</v>
      </c>
      <c r="D837" t="s">
        <v>3</v>
      </c>
      <c r="E837" t="s">
        <v>6</v>
      </c>
      <c r="F837" s="1">
        <v>45268</v>
      </c>
      <c r="G837" s="10">
        <v>19097.88</v>
      </c>
      <c r="H837">
        <v>10</v>
      </c>
    </row>
    <row r="838" spans="1:8" x14ac:dyDescent="0.5">
      <c r="A838" s="3">
        <v>102</v>
      </c>
      <c r="B838" s="3">
        <v>29</v>
      </c>
      <c r="C838" s="3" t="str">
        <f t="shared" si="13"/>
        <v>Young</v>
      </c>
      <c r="D838" t="s">
        <v>5</v>
      </c>
      <c r="E838" t="s">
        <v>4</v>
      </c>
      <c r="F838" s="1">
        <v>44963</v>
      </c>
      <c r="G838" s="10">
        <v>9949.17</v>
      </c>
      <c r="H838">
        <v>28</v>
      </c>
    </row>
    <row r="839" spans="1:8" x14ac:dyDescent="0.5">
      <c r="A839" s="3">
        <v>72</v>
      </c>
      <c r="B839" s="3">
        <v>23</v>
      </c>
      <c r="C839" s="3" t="str">
        <f t="shared" si="13"/>
        <v>Young</v>
      </c>
      <c r="D839" t="s">
        <v>5</v>
      </c>
      <c r="E839" t="s">
        <v>2</v>
      </c>
      <c r="F839" s="1">
        <v>45095</v>
      </c>
      <c r="G839" s="10">
        <v>46975.06</v>
      </c>
      <c r="H839">
        <v>26</v>
      </c>
    </row>
    <row r="840" spans="1:8" x14ac:dyDescent="0.5">
      <c r="A840" s="3">
        <v>252</v>
      </c>
      <c r="B840" s="3">
        <v>56</v>
      </c>
      <c r="C840" s="3" t="str">
        <f t="shared" si="13"/>
        <v>Old</v>
      </c>
      <c r="D840" t="s">
        <v>5</v>
      </c>
      <c r="E840" t="s">
        <v>2</v>
      </c>
      <c r="F840" s="1">
        <v>45238</v>
      </c>
      <c r="G840" s="10">
        <v>59433.74</v>
      </c>
      <c r="H840">
        <v>2</v>
      </c>
    </row>
    <row r="841" spans="1:8" x14ac:dyDescent="0.5">
      <c r="A841" s="3">
        <v>435</v>
      </c>
      <c r="B841" s="3">
        <v>23</v>
      </c>
      <c r="C841" s="3" t="str">
        <f t="shared" si="13"/>
        <v>Young</v>
      </c>
      <c r="D841" t="s">
        <v>5</v>
      </c>
      <c r="E841" t="s">
        <v>1</v>
      </c>
      <c r="F841" s="1">
        <v>45300</v>
      </c>
      <c r="G841" s="10">
        <v>88879.84</v>
      </c>
      <c r="H841">
        <v>25</v>
      </c>
    </row>
    <row r="842" spans="1:8" x14ac:dyDescent="0.5">
      <c r="A842" s="3">
        <v>234</v>
      </c>
      <c r="B842" s="3">
        <v>94</v>
      </c>
      <c r="C842" s="3" t="str">
        <f t="shared" si="13"/>
        <v>Old</v>
      </c>
      <c r="D842" t="s">
        <v>3</v>
      </c>
      <c r="E842" t="s">
        <v>2</v>
      </c>
      <c r="F842" s="1">
        <v>45022</v>
      </c>
      <c r="G842" s="10">
        <v>95139.22</v>
      </c>
      <c r="H842">
        <v>19</v>
      </c>
    </row>
    <row r="843" spans="1:8" x14ac:dyDescent="0.5">
      <c r="A843" s="3">
        <v>292</v>
      </c>
      <c r="B843" s="3">
        <v>70</v>
      </c>
      <c r="C843" s="3" t="str">
        <f t="shared" si="13"/>
        <v>Old</v>
      </c>
      <c r="D843" t="s">
        <v>5</v>
      </c>
      <c r="E843" t="s">
        <v>1</v>
      </c>
      <c r="F843" s="1">
        <v>45192</v>
      </c>
      <c r="G843" s="10">
        <v>7408.82</v>
      </c>
      <c r="H843">
        <v>21</v>
      </c>
    </row>
    <row r="844" spans="1:8" x14ac:dyDescent="0.5">
      <c r="A844" s="3">
        <v>170</v>
      </c>
      <c r="B844" s="3">
        <v>38</v>
      </c>
      <c r="C844" s="3" t="str">
        <f t="shared" si="13"/>
        <v>Middle Age</v>
      </c>
      <c r="D844" t="s">
        <v>5</v>
      </c>
      <c r="E844" t="s">
        <v>0</v>
      </c>
      <c r="F844" s="1">
        <v>45222</v>
      </c>
      <c r="G844" s="10">
        <v>97786.1</v>
      </c>
      <c r="H844">
        <v>4</v>
      </c>
    </row>
    <row r="845" spans="1:8" x14ac:dyDescent="0.5">
      <c r="A845" s="3">
        <v>213</v>
      </c>
      <c r="B845" s="3">
        <v>60</v>
      </c>
      <c r="C845" s="3" t="str">
        <f t="shared" si="13"/>
        <v>Old</v>
      </c>
      <c r="D845" t="s">
        <v>3</v>
      </c>
      <c r="E845" t="s">
        <v>0</v>
      </c>
      <c r="F845" s="1">
        <v>45313</v>
      </c>
      <c r="G845" s="10">
        <v>85031.76</v>
      </c>
      <c r="H845">
        <v>19</v>
      </c>
    </row>
    <row r="846" spans="1:8" x14ac:dyDescent="0.5">
      <c r="A846" s="3">
        <v>308</v>
      </c>
      <c r="B846" s="3">
        <v>50</v>
      </c>
      <c r="C846" s="3" t="str">
        <f t="shared" si="13"/>
        <v>Middle Age</v>
      </c>
      <c r="D846" t="s">
        <v>5</v>
      </c>
      <c r="E846" t="s">
        <v>4</v>
      </c>
      <c r="F846" s="1">
        <v>45085</v>
      </c>
      <c r="G846" s="10">
        <v>67065.210000000006</v>
      </c>
      <c r="H846">
        <v>2</v>
      </c>
    </row>
    <row r="847" spans="1:8" x14ac:dyDescent="0.5">
      <c r="A847" s="3">
        <v>262</v>
      </c>
      <c r="B847" s="3">
        <v>23</v>
      </c>
      <c r="C847" s="3" t="str">
        <f t="shared" si="13"/>
        <v>Young</v>
      </c>
      <c r="D847" t="s">
        <v>5</v>
      </c>
      <c r="E847" t="s">
        <v>1</v>
      </c>
      <c r="F847" s="1">
        <v>45129</v>
      </c>
      <c r="G847" s="10">
        <v>42966.97</v>
      </c>
      <c r="H847">
        <v>3</v>
      </c>
    </row>
    <row r="848" spans="1:8" x14ac:dyDescent="0.5">
      <c r="A848" s="3">
        <v>439</v>
      </c>
      <c r="B848" s="3">
        <v>47</v>
      </c>
      <c r="C848" s="3" t="str">
        <f t="shared" si="13"/>
        <v>Middle Age</v>
      </c>
      <c r="D848" t="s">
        <v>3</v>
      </c>
      <c r="E848" t="s">
        <v>0</v>
      </c>
      <c r="F848" s="1">
        <v>45197</v>
      </c>
      <c r="G848" s="10">
        <v>14427.17</v>
      </c>
      <c r="H848">
        <v>19</v>
      </c>
    </row>
    <row r="849" spans="1:8" x14ac:dyDescent="0.5">
      <c r="A849" s="3">
        <v>381</v>
      </c>
      <c r="B849" s="3">
        <v>23</v>
      </c>
      <c r="C849" s="3" t="str">
        <f t="shared" si="13"/>
        <v>Young</v>
      </c>
      <c r="D849" t="s">
        <v>5</v>
      </c>
      <c r="E849" t="s">
        <v>0</v>
      </c>
      <c r="F849" s="1">
        <v>45212</v>
      </c>
      <c r="G849" s="10">
        <v>97623.45</v>
      </c>
      <c r="H849">
        <v>12</v>
      </c>
    </row>
    <row r="850" spans="1:8" x14ac:dyDescent="0.5">
      <c r="A850" s="3">
        <v>256</v>
      </c>
      <c r="B850" s="3">
        <v>23</v>
      </c>
      <c r="C850" s="3" t="str">
        <f t="shared" si="13"/>
        <v>Young</v>
      </c>
      <c r="D850" t="s">
        <v>5</v>
      </c>
      <c r="E850" t="s">
        <v>0</v>
      </c>
      <c r="F850" s="1">
        <v>45060</v>
      </c>
      <c r="G850" s="10">
        <v>10079.44</v>
      </c>
      <c r="H850">
        <v>29</v>
      </c>
    </row>
    <row r="851" spans="1:8" x14ac:dyDescent="0.5">
      <c r="A851" s="3">
        <v>80</v>
      </c>
      <c r="B851" s="3">
        <v>50</v>
      </c>
      <c r="C851" s="3" t="str">
        <f t="shared" si="13"/>
        <v>Middle Age</v>
      </c>
      <c r="D851" t="s">
        <v>5</v>
      </c>
      <c r="E851" t="s">
        <v>4</v>
      </c>
      <c r="F851" s="1">
        <v>45166</v>
      </c>
      <c r="G851" s="10">
        <v>99769.16</v>
      </c>
      <c r="H851">
        <v>27</v>
      </c>
    </row>
    <row r="852" spans="1:8" x14ac:dyDescent="0.5">
      <c r="A852" s="3">
        <v>297</v>
      </c>
      <c r="B852" s="3">
        <v>51</v>
      </c>
      <c r="C852" s="3" t="str">
        <f t="shared" si="13"/>
        <v>Middle Age</v>
      </c>
      <c r="D852" t="s">
        <v>5</v>
      </c>
      <c r="E852" t="s">
        <v>6</v>
      </c>
      <c r="F852" s="1">
        <v>45149</v>
      </c>
      <c r="G852" s="10">
        <v>13324.61</v>
      </c>
      <c r="H852">
        <v>21</v>
      </c>
    </row>
    <row r="853" spans="1:8" x14ac:dyDescent="0.5">
      <c r="A853" s="3">
        <v>261</v>
      </c>
      <c r="B853" s="3">
        <v>40</v>
      </c>
      <c r="C853" s="3" t="str">
        <f t="shared" si="13"/>
        <v>Middle Age</v>
      </c>
      <c r="D853" t="s">
        <v>5</v>
      </c>
      <c r="E853" t="s">
        <v>4</v>
      </c>
      <c r="F853" s="1">
        <v>45274</v>
      </c>
      <c r="G853" s="10">
        <v>57185.94</v>
      </c>
      <c r="H853">
        <v>27</v>
      </c>
    </row>
    <row r="854" spans="1:8" x14ac:dyDescent="0.5">
      <c r="A854" s="3">
        <v>412</v>
      </c>
      <c r="B854" s="3">
        <v>23</v>
      </c>
      <c r="C854" s="3" t="str">
        <f t="shared" si="13"/>
        <v>Young</v>
      </c>
      <c r="D854" t="s">
        <v>5</v>
      </c>
      <c r="E854" t="s">
        <v>0</v>
      </c>
      <c r="F854" s="1">
        <v>45313</v>
      </c>
      <c r="G854" s="10">
        <v>95283.9</v>
      </c>
      <c r="H854">
        <v>22</v>
      </c>
    </row>
    <row r="855" spans="1:8" x14ac:dyDescent="0.5">
      <c r="A855" s="3">
        <v>66</v>
      </c>
      <c r="B855" s="3">
        <v>70</v>
      </c>
      <c r="C855" s="3" t="str">
        <f t="shared" si="13"/>
        <v>Old</v>
      </c>
      <c r="D855" t="s">
        <v>5</v>
      </c>
      <c r="E855" t="s">
        <v>6</v>
      </c>
      <c r="F855" s="1">
        <v>44998</v>
      </c>
      <c r="G855" s="10">
        <v>24033.77</v>
      </c>
      <c r="H855">
        <v>26</v>
      </c>
    </row>
    <row r="856" spans="1:8" x14ac:dyDescent="0.5">
      <c r="A856" s="3">
        <v>21</v>
      </c>
      <c r="B856" s="3">
        <v>53</v>
      </c>
      <c r="C856" s="3" t="str">
        <f t="shared" si="13"/>
        <v>Middle Age</v>
      </c>
      <c r="D856" t="s">
        <v>3</v>
      </c>
      <c r="E856" t="s">
        <v>1</v>
      </c>
      <c r="F856" s="1">
        <v>45055</v>
      </c>
      <c r="G856" s="10">
        <v>115.11</v>
      </c>
      <c r="H856">
        <v>1</v>
      </c>
    </row>
    <row r="857" spans="1:8" x14ac:dyDescent="0.5">
      <c r="A857" s="3">
        <v>259</v>
      </c>
      <c r="B857" s="3">
        <v>37</v>
      </c>
      <c r="C857" s="3" t="str">
        <f t="shared" si="13"/>
        <v>Middle Age</v>
      </c>
      <c r="D857" t="s">
        <v>5</v>
      </c>
      <c r="E857" t="s">
        <v>0</v>
      </c>
      <c r="F857" s="1">
        <v>44961</v>
      </c>
      <c r="G857" s="10">
        <v>1990.44</v>
      </c>
      <c r="H857">
        <v>23</v>
      </c>
    </row>
    <row r="858" spans="1:8" x14ac:dyDescent="0.5">
      <c r="A858" s="3">
        <v>175</v>
      </c>
      <c r="B858" s="3">
        <v>33</v>
      </c>
      <c r="C858" s="3" t="str">
        <f t="shared" si="13"/>
        <v>Middle Age</v>
      </c>
      <c r="D858" t="s">
        <v>5</v>
      </c>
      <c r="E858" t="s">
        <v>2</v>
      </c>
      <c r="F858" s="1">
        <v>45020</v>
      </c>
      <c r="G858" s="10">
        <v>92816.67</v>
      </c>
      <c r="H858">
        <v>24</v>
      </c>
    </row>
    <row r="859" spans="1:8" x14ac:dyDescent="0.5">
      <c r="A859" s="3">
        <v>492</v>
      </c>
      <c r="B859" s="3">
        <v>91</v>
      </c>
      <c r="C859" s="3" t="str">
        <f t="shared" si="13"/>
        <v>Old</v>
      </c>
      <c r="D859" t="s">
        <v>3</v>
      </c>
      <c r="E859" t="s">
        <v>1</v>
      </c>
      <c r="F859" s="1">
        <v>44964</v>
      </c>
      <c r="G859" s="10">
        <v>44810.55</v>
      </c>
      <c r="H859">
        <v>7</v>
      </c>
    </row>
    <row r="860" spans="1:8" x14ac:dyDescent="0.5">
      <c r="A860" s="3">
        <v>265</v>
      </c>
      <c r="B860" s="3">
        <v>69</v>
      </c>
      <c r="C860" s="3" t="str">
        <f t="shared" si="13"/>
        <v>Old</v>
      </c>
      <c r="D860" t="s">
        <v>3</v>
      </c>
      <c r="E860" t="s">
        <v>2</v>
      </c>
      <c r="F860" s="1">
        <v>45105</v>
      </c>
      <c r="G860" s="10">
        <v>9879</v>
      </c>
      <c r="H860">
        <v>26</v>
      </c>
    </row>
    <row r="861" spans="1:8" x14ac:dyDescent="0.5">
      <c r="A861" s="3">
        <v>406</v>
      </c>
      <c r="B861" s="3">
        <v>90</v>
      </c>
      <c r="C861" s="3" t="str">
        <f t="shared" si="13"/>
        <v>Old</v>
      </c>
      <c r="D861" t="s">
        <v>5</v>
      </c>
      <c r="E861" t="s">
        <v>1</v>
      </c>
      <c r="F861" s="1">
        <v>45215</v>
      </c>
      <c r="G861" s="10">
        <v>74075.94</v>
      </c>
      <c r="H861">
        <v>27</v>
      </c>
    </row>
    <row r="862" spans="1:8" x14ac:dyDescent="0.5">
      <c r="A862" s="3">
        <v>140</v>
      </c>
      <c r="B862" s="3">
        <v>23</v>
      </c>
      <c r="C862" s="3" t="str">
        <f t="shared" si="13"/>
        <v>Young</v>
      </c>
      <c r="D862" t="s">
        <v>5</v>
      </c>
      <c r="E862" t="s">
        <v>4</v>
      </c>
      <c r="F862" s="1">
        <v>45154</v>
      </c>
      <c r="G862" s="10">
        <v>78553.990000000005</v>
      </c>
      <c r="H862">
        <v>1</v>
      </c>
    </row>
    <row r="863" spans="1:8" x14ac:dyDescent="0.5">
      <c r="A863" s="3">
        <v>65</v>
      </c>
      <c r="B863" s="3">
        <v>69</v>
      </c>
      <c r="C863" s="3" t="str">
        <f t="shared" si="13"/>
        <v>Old</v>
      </c>
      <c r="D863" t="s">
        <v>3</v>
      </c>
      <c r="E863" t="s">
        <v>2</v>
      </c>
      <c r="F863" s="1">
        <v>45247</v>
      </c>
      <c r="G863" s="10">
        <v>96142.8</v>
      </c>
      <c r="H863">
        <v>1</v>
      </c>
    </row>
    <row r="864" spans="1:8" x14ac:dyDescent="0.5">
      <c r="A864" s="3">
        <v>11</v>
      </c>
      <c r="B864" s="3">
        <v>1</v>
      </c>
      <c r="C864" s="3" t="str">
        <f t="shared" si="13"/>
        <v>Young</v>
      </c>
      <c r="D864" t="s">
        <v>3</v>
      </c>
      <c r="E864" t="s">
        <v>4</v>
      </c>
      <c r="F864" s="1">
        <v>45193</v>
      </c>
      <c r="G864" s="10">
        <v>23803.3</v>
      </c>
      <c r="H864">
        <v>21</v>
      </c>
    </row>
    <row r="865" spans="1:8" x14ac:dyDescent="0.5">
      <c r="A865" s="3">
        <v>370</v>
      </c>
      <c r="B865" s="3">
        <v>100</v>
      </c>
      <c r="C865" s="3" t="str">
        <f t="shared" si="13"/>
        <v>Old</v>
      </c>
      <c r="D865" t="s">
        <v>3</v>
      </c>
      <c r="E865" t="s">
        <v>0</v>
      </c>
      <c r="F865" s="1">
        <v>45063</v>
      </c>
      <c r="G865" s="10">
        <v>7858.71</v>
      </c>
      <c r="H865">
        <v>13</v>
      </c>
    </row>
    <row r="866" spans="1:8" x14ac:dyDescent="0.5">
      <c r="A866" s="3">
        <v>284</v>
      </c>
      <c r="B866" s="3">
        <v>83</v>
      </c>
      <c r="C866" s="3" t="str">
        <f t="shared" si="13"/>
        <v>Old</v>
      </c>
      <c r="D866" t="s">
        <v>3</v>
      </c>
      <c r="E866" t="s">
        <v>6</v>
      </c>
      <c r="F866" s="1">
        <v>45118</v>
      </c>
      <c r="G866" s="10">
        <v>409.08</v>
      </c>
      <c r="H866">
        <v>3</v>
      </c>
    </row>
    <row r="867" spans="1:8" x14ac:dyDescent="0.5">
      <c r="A867" s="3">
        <v>32</v>
      </c>
      <c r="B867" s="3">
        <v>78</v>
      </c>
      <c r="C867" s="3" t="str">
        <f t="shared" si="13"/>
        <v>Old</v>
      </c>
      <c r="D867" t="s">
        <v>5</v>
      </c>
      <c r="E867" t="s">
        <v>6</v>
      </c>
      <c r="F867" s="1">
        <v>45137</v>
      </c>
      <c r="G867" s="10">
        <v>99556.64</v>
      </c>
      <c r="H867">
        <v>18</v>
      </c>
    </row>
    <row r="868" spans="1:8" x14ac:dyDescent="0.5">
      <c r="A868" s="3">
        <v>396</v>
      </c>
      <c r="B868" s="3">
        <v>24</v>
      </c>
      <c r="C868" s="3" t="str">
        <f t="shared" si="13"/>
        <v>Young</v>
      </c>
      <c r="D868" t="s">
        <v>5</v>
      </c>
      <c r="E868" t="s">
        <v>4</v>
      </c>
      <c r="F868" s="1">
        <v>45268</v>
      </c>
      <c r="G868" s="10">
        <v>47672.68</v>
      </c>
      <c r="H868">
        <v>14</v>
      </c>
    </row>
    <row r="869" spans="1:8" x14ac:dyDescent="0.5">
      <c r="A869" s="3">
        <v>32</v>
      </c>
      <c r="B869" s="3">
        <v>44</v>
      </c>
      <c r="C869" s="3" t="str">
        <f t="shared" si="13"/>
        <v>Middle Age</v>
      </c>
      <c r="D869" t="s">
        <v>5</v>
      </c>
      <c r="E869" t="s">
        <v>6</v>
      </c>
      <c r="F869" s="1">
        <v>45177</v>
      </c>
      <c r="G869" s="10">
        <v>81664.34</v>
      </c>
      <c r="H869">
        <v>0</v>
      </c>
    </row>
    <row r="870" spans="1:8" x14ac:dyDescent="0.5">
      <c r="A870" s="3">
        <v>290</v>
      </c>
      <c r="B870" s="3">
        <v>36</v>
      </c>
      <c r="C870" s="3" t="str">
        <f t="shared" si="13"/>
        <v>Middle Age</v>
      </c>
      <c r="D870" t="s">
        <v>5</v>
      </c>
      <c r="E870" t="s">
        <v>6</v>
      </c>
      <c r="F870" s="1">
        <v>44947</v>
      </c>
      <c r="G870" s="10">
        <v>1390.86</v>
      </c>
      <c r="H870">
        <v>4</v>
      </c>
    </row>
    <row r="871" spans="1:8" x14ac:dyDescent="0.5">
      <c r="A871" s="3">
        <v>222</v>
      </c>
      <c r="B871" s="3">
        <v>71</v>
      </c>
      <c r="C871" s="3" t="str">
        <f t="shared" si="13"/>
        <v>Old</v>
      </c>
      <c r="D871" t="s">
        <v>3</v>
      </c>
      <c r="E871" t="s">
        <v>0</v>
      </c>
      <c r="F871" s="1">
        <v>44951</v>
      </c>
      <c r="G871" s="10">
        <v>57508.73</v>
      </c>
      <c r="H871">
        <v>26</v>
      </c>
    </row>
    <row r="872" spans="1:8" x14ac:dyDescent="0.5">
      <c r="A872" s="3">
        <v>67</v>
      </c>
      <c r="B872" s="3">
        <v>39</v>
      </c>
      <c r="C872" s="3" t="str">
        <f t="shared" si="13"/>
        <v>Middle Age</v>
      </c>
      <c r="D872" t="s">
        <v>5</v>
      </c>
      <c r="E872" t="s">
        <v>6</v>
      </c>
      <c r="F872" s="1">
        <v>45176</v>
      </c>
      <c r="G872" s="10">
        <v>68759.600000000006</v>
      </c>
      <c r="H872">
        <v>5</v>
      </c>
    </row>
    <row r="873" spans="1:8" x14ac:dyDescent="0.5">
      <c r="A873" s="3">
        <v>122</v>
      </c>
      <c r="B873" s="3">
        <v>35</v>
      </c>
      <c r="C873" s="3" t="str">
        <f t="shared" si="13"/>
        <v>Middle Age</v>
      </c>
      <c r="D873" t="s">
        <v>3</v>
      </c>
      <c r="E873" t="s">
        <v>0</v>
      </c>
      <c r="F873" s="1">
        <v>45221</v>
      </c>
      <c r="G873" s="10">
        <v>31833.61</v>
      </c>
      <c r="H873">
        <v>24</v>
      </c>
    </row>
    <row r="874" spans="1:8" x14ac:dyDescent="0.5">
      <c r="A874" s="3">
        <v>322</v>
      </c>
      <c r="B874" s="3">
        <v>23</v>
      </c>
      <c r="C874" s="3" t="str">
        <f t="shared" si="13"/>
        <v>Young</v>
      </c>
      <c r="D874" t="s">
        <v>3</v>
      </c>
      <c r="E874" t="s">
        <v>4</v>
      </c>
      <c r="F874" s="1">
        <v>45227</v>
      </c>
      <c r="G874" s="10">
        <v>41533.15</v>
      </c>
      <c r="H874">
        <v>7</v>
      </c>
    </row>
    <row r="875" spans="1:8" x14ac:dyDescent="0.5">
      <c r="A875" s="3">
        <v>483</v>
      </c>
      <c r="B875" s="3">
        <v>1</v>
      </c>
      <c r="C875" s="3" t="str">
        <f t="shared" si="13"/>
        <v>Young</v>
      </c>
      <c r="D875" t="s">
        <v>5</v>
      </c>
      <c r="E875" t="s">
        <v>6</v>
      </c>
      <c r="F875" s="1">
        <v>44964</v>
      </c>
      <c r="G875" s="10">
        <v>56342.83</v>
      </c>
      <c r="H875">
        <v>15</v>
      </c>
    </row>
    <row r="876" spans="1:8" x14ac:dyDescent="0.5">
      <c r="A876" s="3">
        <v>192</v>
      </c>
      <c r="B876" s="3">
        <v>23</v>
      </c>
      <c r="C876" s="3" t="str">
        <f t="shared" si="13"/>
        <v>Young</v>
      </c>
      <c r="D876" t="s">
        <v>5</v>
      </c>
      <c r="E876" t="s">
        <v>4</v>
      </c>
      <c r="F876" s="1">
        <v>45197</v>
      </c>
      <c r="G876" s="10">
        <v>97849.56</v>
      </c>
      <c r="H876">
        <v>24</v>
      </c>
    </row>
    <row r="877" spans="1:8" x14ac:dyDescent="0.5">
      <c r="A877" s="3">
        <v>82</v>
      </c>
      <c r="B877" s="3">
        <v>23</v>
      </c>
      <c r="C877" s="3" t="str">
        <f t="shared" si="13"/>
        <v>Young</v>
      </c>
      <c r="D877" t="s">
        <v>5</v>
      </c>
      <c r="E877" t="s">
        <v>6</v>
      </c>
      <c r="F877" s="1">
        <v>44970</v>
      </c>
      <c r="G877" s="10">
        <v>13883.73</v>
      </c>
      <c r="H877">
        <v>14</v>
      </c>
    </row>
    <row r="878" spans="1:8" x14ac:dyDescent="0.5">
      <c r="A878" s="3">
        <v>134</v>
      </c>
      <c r="B878" s="3">
        <v>60</v>
      </c>
      <c r="C878" s="3" t="str">
        <f t="shared" si="13"/>
        <v>Old</v>
      </c>
      <c r="D878" t="s">
        <v>3</v>
      </c>
      <c r="E878" t="s">
        <v>4</v>
      </c>
      <c r="F878" s="1">
        <v>45273</v>
      </c>
      <c r="G878" s="10">
        <v>73397.570000000007</v>
      </c>
      <c r="H878">
        <v>11</v>
      </c>
    </row>
    <row r="879" spans="1:8" x14ac:dyDescent="0.5">
      <c r="A879" s="3">
        <v>112</v>
      </c>
      <c r="B879" s="3">
        <v>23</v>
      </c>
      <c r="C879" s="3" t="str">
        <f t="shared" si="13"/>
        <v>Young</v>
      </c>
      <c r="D879" t="s">
        <v>5</v>
      </c>
      <c r="E879" t="s">
        <v>4</v>
      </c>
      <c r="F879" s="1">
        <v>45315</v>
      </c>
      <c r="G879" s="10">
        <v>41422.61</v>
      </c>
      <c r="H879">
        <v>29</v>
      </c>
    </row>
    <row r="880" spans="1:8" x14ac:dyDescent="0.5">
      <c r="A880" s="3">
        <v>444</v>
      </c>
      <c r="B880" s="3">
        <v>77</v>
      </c>
      <c r="C880" s="3" t="str">
        <f t="shared" si="13"/>
        <v>Old</v>
      </c>
      <c r="D880" t="s">
        <v>5</v>
      </c>
      <c r="E880" t="s">
        <v>4</v>
      </c>
      <c r="F880" s="1">
        <v>45019</v>
      </c>
      <c r="G880" s="10">
        <v>78802.17</v>
      </c>
      <c r="H880">
        <v>1</v>
      </c>
    </row>
    <row r="881" spans="1:8" x14ac:dyDescent="0.5">
      <c r="A881" s="3">
        <v>352</v>
      </c>
      <c r="B881" s="3">
        <v>1</v>
      </c>
      <c r="C881" s="3" t="str">
        <f t="shared" si="13"/>
        <v>Young</v>
      </c>
      <c r="D881" t="s">
        <v>5</v>
      </c>
      <c r="E881" t="s">
        <v>4</v>
      </c>
      <c r="F881" s="1">
        <v>45119</v>
      </c>
      <c r="G881" s="10">
        <v>59649.02</v>
      </c>
      <c r="H881">
        <v>0</v>
      </c>
    </row>
    <row r="882" spans="1:8" x14ac:dyDescent="0.5">
      <c r="A882" s="3">
        <v>51</v>
      </c>
      <c r="B882" s="3">
        <v>23</v>
      </c>
      <c r="C882" s="3" t="str">
        <f t="shared" si="13"/>
        <v>Young</v>
      </c>
      <c r="D882" t="s">
        <v>3</v>
      </c>
      <c r="E882" t="s">
        <v>4</v>
      </c>
      <c r="F882" s="1">
        <v>45207</v>
      </c>
      <c r="G882" s="10">
        <v>46047.59</v>
      </c>
      <c r="H882">
        <v>19</v>
      </c>
    </row>
    <row r="883" spans="1:8" x14ac:dyDescent="0.5">
      <c r="A883" s="3">
        <v>143</v>
      </c>
      <c r="B883" s="3">
        <v>23</v>
      </c>
      <c r="C883" s="3" t="str">
        <f t="shared" si="13"/>
        <v>Young</v>
      </c>
      <c r="D883" t="s">
        <v>3</v>
      </c>
      <c r="E883" t="s">
        <v>0</v>
      </c>
      <c r="F883" s="1">
        <v>45029</v>
      </c>
      <c r="G883" s="10">
        <v>95184.33</v>
      </c>
      <c r="H883">
        <v>26</v>
      </c>
    </row>
    <row r="884" spans="1:8" x14ac:dyDescent="0.5">
      <c r="A884" s="3">
        <v>121</v>
      </c>
      <c r="B884" s="3">
        <v>60</v>
      </c>
      <c r="C884" s="3" t="str">
        <f t="shared" si="13"/>
        <v>Old</v>
      </c>
      <c r="D884" t="s">
        <v>3</v>
      </c>
      <c r="E884" t="s">
        <v>6</v>
      </c>
      <c r="F884" s="1">
        <v>45121</v>
      </c>
      <c r="G884" s="10">
        <v>16255.07</v>
      </c>
      <c r="H884">
        <v>6</v>
      </c>
    </row>
    <row r="885" spans="1:8" x14ac:dyDescent="0.5">
      <c r="A885" s="3">
        <v>210</v>
      </c>
      <c r="B885" s="3">
        <v>72</v>
      </c>
      <c r="C885" s="3" t="str">
        <f t="shared" si="13"/>
        <v>Old</v>
      </c>
      <c r="D885" t="s">
        <v>3</v>
      </c>
      <c r="E885" t="s">
        <v>6</v>
      </c>
      <c r="F885" s="1">
        <v>45034</v>
      </c>
      <c r="G885" s="10">
        <v>89325.6</v>
      </c>
      <c r="H885">
        <v>17</v>
      </c>
    </row>
    <row r="886" spans="1:8" x14ac:dyDescent="0.5">
      <c r="A886" s="3">
        <v>471</v>
      </c>
      <c r="B886" s="3">
        <v>24</v>
      </c>
      <c r="C886" s="3" t="str">
        <f t="shared" si="13"/>
        <v>Young</v>
      </c>
      <c r="D886" t="s">
        <v>5</v>
      </c>
      <c r="E886" t="s">
        <v>1</v>
      </c>
      <c r="F886" s="1">
        <v>45000</v>
      </c>
      <c r="G886" s="10">
        <v>8878.89</v>
      </c>
      <c r="H886">
        <v>22</v>
      </c>
    </row>
    <row r="887" spans="1:8" x14ac:dyDescent="0.5">
      <c r="A887" s="3">
        <v>401</v>
      </c>
      <c r="B887" s="3">
        <v>21</v>
      </c>
      <c r="C887" s="3" t="str">
        <f t="shared" si="13"/>
        <v>Young</v>
      </c>
      <c r="D887" t="s">
        <v>5</v>
      </c>
      <c r="E887" t="s">
        <v>1</v>
      </c>
      <c r="F887" s="1">
        <v>45304</v>
      </c>
      <c r="G887" s="10">
        <v>92110.3</v>
      </c>
      <c r="H887">
        <v>9</v>
      </c>
    </row>
    <row r="888" spans="1:8" x14ac:dyDescent="0.5">
      <c r="A888" s="3">
        <v>369</v>
      </c>
      <c r="B888" s="3">
        <v>73</v>
      </c>
      <c r="C888" s="3" t="str">
        <f t="shared" si="13"/>
        <v>Old</v>
      </c>
      <c r="D888" t="s">
        <v>5</v>
      </c>
      <c r="E888" t="s">
        <v>1</v>
      </c>
      <c r="F888" s="1">
        <v>45230</v>
      </c>
      <c r="G888" s="10">
        <v>45316.59</v>
      </c>
      <c r="H888">
        <v>7</v>
      </c>
    </row>
    <row r="889" spans="1:8" x14ac:dyDescent="0.5">
      <c r="A889" s="3">
        <v>262</v>
      </c>
      <c r="B889" s="3">
        <v>39</v>
      </c>
      <c r="C889" s="3" t="str">
        <f t="shared" si="13"/>
        <v>Middle Age</v>
      </c>
      <c r="D889" t="s">
        <v>3</v>
      </c>
      <c r="E889" t="s">
        <v>0</v>
      </c>
      <c r="F889" s="1">
        <v>45168</v>
      </c>
      <c r="G889" s="10">
        <v>63301.25</v>
      </c>
      <c r="H889">
        <v>19</v>
      </c>
    </row>
    <row r="890" spans="1:8" x14ac:dyDescent="0.5">
      <c r="A890" s="3">
        <v>370</v>
      </c>
      <c r="B890" s="3">
        <v>32</v>
      </c>
      <c r="C890" s="3" t="str">
        <f t="shared" si="13"/>
        <v>Middle Age</v>
      </c>
      <c r="D890" t="s">
        <v>3</v>
      </c>
      <c r="E890" t="s">
        <v>1</v>
      </c>
      <c r="F890" s="1">
        <v>44932</v>
      </c>
      <c r="G890" s="10">
        <v>24579.46</v>
      </c>
      <c r="H890">
        <v>14</v>
      </c>
    </row>
    <row r="891" spans="1:8" x14ac:dyDescent="0.5">
      <c r="A891" s="3">
        <v>424</v>
      </c>
      <c r="B891" s="3">
        <v>97</v>
      </c>
      <c r="C891" s="3" t="str">
        <f t="shared" si="13"/>
        <v>Old</v>
      </c>
      <c r="D891" t="s">
        <v>3</v>
      </c>
      <c r="E891" t="s">
        <v>4</v>
      </c>
      <c r="F891" s="1">
        <v>45037</v>
      </c>
      <c r="G891" s="10">
        <v>95823.81</v>
      </c>
      <c r="H891">
        <v>8</v>
      </c>
    </row>
    <row r="892" spans="1:8" x14ac:dyDescent="0.5">
      <c r="A892" s="3">
        <v>125</v>
      </c>
      <c r="B892" s="3">
        <v>22</v>
      </c>
      <c r="C892" s="3" t="str">
        <f t="shared" si="13"/>
        <v>Young</v>
      </c>
      <c r="D892" t="s">
        <v>5</v>
      </c>
      <c r="E892" t="s">
        <v>4</v>
      </c>
      <c r="F892" s="1">
        <v>44937</v>
      </c>
      <c r="G892" s="10">
        <v>96451.4</v>
      </c>
      <c r="H892">
        <v>2</v>
      </c>
    </row>
    <row r="893" spans="1:8" x14ac:dyDescent="0.5">
      <c r="A893" s="3">
        <v>341</v>
      </c>
      <c r="B893" s="3">
        <v>77</v>
      </c>
      <c r="C893" s="3" t="str">
        <f t="shared" si="13"/>
        <v>Old</v>
      </c>
      <c r="D893" t="s">
        <v>3</v>
      </c>
      <c r="E893" t="s">
        <v>2</v>
      </c>
      <c r="F893" s="1">
        <v>45002</v>
      </c>
      <c r="G893" s="10">
        <v>26032.240000000002</v>
      </c>
      <c r="H893">
        <v>15</v>
      </c>
    </row>
    <row r="894" spans="1:8" x14ac:dyDescent="0.5">
      <c r="A894" s="3">
        <v>125</v>
      </c>
      <c r="B894" s="3">
        <v>60</v>
      </c>
      <c r="C894" s="3" t="str">
        <f t="shared" si="13"/>
        <v>Old</v>
      </c>
      <c r="D894" t="s">
        <v>3</v>
      </c>
      <c r="E894" t="s">
        <v>4</v>
      </c>
      <c r="F894" s="1">
        <v>44941</v>
      </c>
      <c r="G894" s="10">
        <v>85084.46</v>
      </c>
      <c r="H894">
        <v>21</v>
      </c>
    </row>
    <row r="895" spans="1:8" x14ac:dyDescent="0.5">
      <c r="A895" s="3">
        <v>387</v>
      </c>
      <c r="B895" s="3">
        <v>67</v>
      </c>
      <c r="C895" s="3" t="str">
        <f t="shared" si="13"/>
        <v>Old</v>
      </c>
      <c r="D895" t="s">
        <v>5</v>
      </c>
      <c r="E895" t="s">
        <v>2</v>
      </c>
      <c r="F895" s="1">
        <v>45009</v>
      </c>
      <c r="G895" s="10">
        <v>36647.68</v>
      </c>
      <c r="H895">
        <v>23</v>
      </c>
    </row>
    <row r="896" spans="1:8" x14ac:dyDescent="0.5">
      <c r="A896" s="3">
        <v>23</v>
      </c>
      <c r="B896" s="3">
        <v>40</v>
      </c>
      <c r="C896" s="3" t="str">
        <f t="shared" si="13"/>
        <v>Middle Age</v>
      </c>
      <c r="D896" t="s">
        <v>5</v>
      </c>
      <c r="E896" t="s">
        <v>6</v>
      </c>
      <c r="F896" s="1">
        <v>45080</v>
      </c>
      <c r="G896" s="10">
        <v>92056.39</v>
      </c>
      <c r="H896">
        <v>1</v>
      </c>
    </row>
    <row r="897" spans="1:8" x14ac:dyDescent="0.5">
      <c r="A897" s="3">
        <v>389</v>
      </c>
      <c r="B897" s="3">
        <v>23</v>
      </c>
      <c r="C897" s="3" t="str">
        <f t="shared" si="13"/>
        <v>Young</v>
      </c>
      <c r="D897" t="s">
        <v>5</v>
      </c>
      <c r="E897" t="s">
        <v>2</v>
      </c>
      <c r="F897" s="1">
        <v>44936</v>
      </c>
      <c r="G897" s="10">
        <v>13916.79</v>
      </c>
      <c r="H897">
        <v>26</v>
      </c>
    </row>
    <row r="898" spans="1:8" x14ac:dyDescent="0.5">
      <c r="A898" s="3">
        <v>239</v>
      </c>
      <c r="B898" s="3">
        <v>77</v>
      </c>
      <c r="C898" s="3" t="str">
        <f t="shared" ref="C898:C961" si="14">IF(B898&lt;=30,"Young", IF(B898&lt;=55,"Middle Age",IF(B898&gt;55,"Old","Not found")))</f>
        <v>Old</v>
      </c>
      <c r="D898" t="s">
        <v>3</v>
      </c>
      <c r="E898" t="s">
        <v>4</v>
      </c>
      <c r="F898" s="1">
        <v>44930</v>
      </c>
      <c r="G898" s="10">
        <v>77987.77</v>
      </c>
      <c r="H898">
        <v>0</v>
      </c>
    </row>
    <row r="899" spans="1:8" x14ac:dyDescent="0.5">
      <c r="A899" s="3">
        <v>360</v>
      </c>
      <c r="B899" s="3">
        <v>23</v>
      </c>
      <c r="C899" s="3" t="str">
        <f t="shared" si="14"/>
        <v>Young</v>
      </c>
      <c r="D899" t="s">
        <v>3</v>
      </c>
      <c r="E899" t="s">
        <v>4</v>
      </c>
      <c r="F899" s="1">
        <v>45289</v>
      </c>
      <c r="G899" s="10">
        <v>38086.870000000003</v>
      </c>
      <c r="H899">
        <v>22</v>
      </c>
    </row>
    <row r="900" spans="1:8" x14ac:dyDescent="0.5">
      <c r="A900" s="3">
        <v>353</v>
      </c>
      <c r="B900" s="3">
        <v>74</v>
      </c>
      <c r="C900" s="3" t="str">
        <f t="shared" si="14"/>
        <v>Old</v>
      </c>
      <c r="D900" t="s">
        <v>3</v>
      </c>
      <c r="E900" t="s">
        <v>6</v>
      </c>
      <c r="F900" s="1">
        <v>45192</v>
      </c>
      <c r="G900" s="10">
        <v>6853.43</v>
      </c>
      <c r="H900">
        <v>10</v>
      </c>
    </row>
    <row r="901" spans="1:8" x14ac:dyDescent="0.5">
      <c r="A901" s="3">
        <v>473</v>
      </c>
      <c r="B901" s="3">
        <v>49</v>
      </c>
      <c r="C901" s="3" t="str">
        <f t="shared" si="14"/>
        <v>Middle Age</v>
      </c>
      <c r="D901" t="s">
        <v>5</v>
      </c>
      <c r="E901" t="s">
        <v>1</v>
      </c>
      <c r="F901" s="1">
        <v>45132</v>
      </c>
      <c r="G901" s="10">
        <v>29679.81</v>
      </c>
      <c r="H901">
        <v>16</v>
      </c>
    </row>
    <row r="902" spans="1:8" x14ac:dyDescent="0.5">
      <c r="A902" s="3">
        <v>178</v>
      </c>
      <c r="B902" s="3">
        <v>47</v>
      </c>
      <c r="C902" s="3" t="str">
        <f t="shared" si="14"/>
        <v>Middle Age</v>
      </c>
      <c r="D902" t="s">
        <v>5</v>
      </c>
      <c r="E902" t="s">
        <v>0</v>
      </c>
      <c r="F902" s="1">
        <v>45223</v>
      </c>
      <c r="G902" s="10">
        <v>92764.63</v>
      </c>
      <c r="H902">
        <v>11</v>
      </c>
    </row>
    <row r="903" spans="1:8" x14ac:dyDescent="0.5">
      <c r="A903" s="3">
        <v>311</v>
      </c>
      <c r="B903" s="3">
        <v>23</v>
      </c>
      <c r="C903" s="3" t="str">
        <f t="shared" si="14"/>
        <v>Young</v>
      </c>
      <c r="D903" t="s">
        <v>5</v>
      </c>
      <c r="E903" t="s">
        <v>2</v>
      </c>
      <c r="F903" s="1">
        <v>45012</v>
      </c>
      <c r="G903" s="10">
        <v>70527.820000000007</v>
      </c>
      <c r="H903">
        <v>23</v>
      </c>
    </row>
    <row r="904" spans="1:8" x14ac:dyDescent="0.5">
      <c r="A904" s="3">
        <v>395</v>
      </c>
      <c r="B904" s="3">
        <v>72</v>
      </c>
      <c r="C904" s="3" t="str">
        <f t="shared" si="14"/>
        <v>Old</v>
      </c>
      <c r="D904" t="s">
        <v>3</v>
      </c>
      <c r="E904" t="s">
        <v>2</v>
      </c>
      <c r="F904" s="1">
        <v>45095</v>
      </c>
      <c r="G904" s="10">
        <v>40643.949999999997</v>
      </c>
      <c r="H904">
        <v>14</v>
      </c>
    </row>
    <row r="905" spans="1:8" x14ac:dyDescent="0.5">
      <c r="A905" s="3">
        <v>17</v>
      </c>
      <c r="B905" s="3">
        <v>59</v>
      </c>
      <c r="C905" s="3" t="str">
        <f t="shared" si="14"/>
        <v>Old</v>
      </c>
      <c r="D905" t="s">
        <v>3</v>
      </c>
      <c r="E905" t="s">
        <v>2</v>
      </c>
      <c r="F905" s="1">
        <v>45071</v>
      </c>
      <c r="G905" s="10">
        <v>4865.21</v>
      </c>
      <c r="H905">
        <v>9</v>
      </c>
    </row>
    <row r="906" spans="1:8" x14ac:dyDescent="0.5">
      <c r="A906" s="3">
        <v>426</v>
      </c>
      <c r="B906" s="3">
        <v>72</v>
      </c>
      <c r="C906" s="3" t="str">
        <f t="shared" si="14"/>
        <v>Old</v>
      </c>
      <c r="D906" t="s">
        <v>3</v>
      </c>
      <c r="E906" t="s">
        <v>6</v>
      </c>
      <c r="F906" s="1">
        <v>45072</v>
      </c>
      <c r="G906" s="10">
        <v>22940.560000000001</v>
      </c>
      <c r="H906">
        <v>24</v>
      </c>
    </row>
    <row r="907" spans="1:8" x14ac:dyDescent="0.5">
      <c r="A907" s="3">
        <v>481</v>
      </c>
      <c r="B907" s="3">
        <v>90</v>
      </c>
      <c r="C907" s="3" t="str">
        <f t="shared" si="14"/>
        <v>Old</v>
      </c>
      <c r="D907" t="s">
        <v>5</v>
      </c>
      <c r="E907" t="s">
        <v>4</v>
      </c>
      <c r="F907" s="1">
        <v>45319</v>
      </c>
      <c r="G907" s="10">
        <v>212.83</v>
      </c>
      <c r="H907">
        <v>11</v>
      </c>
    </row>
    <row r="908" spans="1:8" x14ac:dyDescent="0.5">
      <c r="A908" s="3">
        <v>376</v>
      </c>
      <c r="B908" s="3">
        <v>66</v>
      </c>
      <c r="C908" s="3" t="str">
        <f t="shared" si="14"/>
        <v>Old</v>
      </c>
      <c r="D908" t="s">
        <v>3</v>
      </c>
      <c r="E908" t="s">
        <v>6</v>
      </c>
      <c r="F908" s="1">
        <v>45030</v>
      </c>
      <c r="G908" s="10">
        <v>59355.67</v>
      </c>
      <c r="H908">
        <v>29</v>
      </c>
    </row>
    <row r="909" spans="1:8" x14ac:dyDescent="0.5">
      <c r="A909" s="3">
        <v>116</v>
      </c>
      <c r="B909" s="3">
        <v>82</v>
      </c>
      <c r="C909" s="3" t="str">
        <f t="shared" si="14"/>
        <v>Old</v>
      </c>
      <c r="D909" t="s">
        <v>5</v>
      </c>
      <c r="E909" t="s">
        <v>2</v>
      </c>
      <c r="F909" s="1">
        <v>45139</v>
      </c>
      <c r="G909" s="10">
        <v>77889.13</v>
      </c>
      <c r="H909">
        <v>27</v>
      </c>
    </row>
    <row r="910" spans="1:8" x14ac:dyDescent="0.5">
      <c r="A910" s="3">
        <v>443</v>
      </c>
      <c r="B910" s="3">
        <v>85</v>
      </c>
      <c r="C910" s="3" t="str">
        <f t="shared" si="14"/>
        <v>Old</v>
      </c>
      <c r="D910" t="s">
        <v>3</v>
      </c>
      <c r="E910" t="s">
        <v>6</v>
      </c>
      <c r="F910" s="1">
        <v>44966</v>
      </c>
      <c r="G910" s="10">
        <v>7826.48</v>
      </c>
      <c r="H910">
        <v>29</v>
      </c>
    </row>
    <row r="911" spans="1:8" x14ac:dyDescent="0.5">
      <c r="A911" s="3">
        <v>148</v>
      </c>
      <c r="B911" s="3">
        <v>100</v>
      </c>
      <c r="C911" s="3" t="str">
        <f t="shared" si="14"/>
        <v>Old</v>
      </c>
      <c r="D911" t="s">
        <v>3</v>
      </c>
      <c r="E911" t="s">
        <v>4</v>
      </c>
      <c r="F911" s="1">
        <v>44992</v>
      </c>
      <c r="G911" s="10">
        <v>57757.120000000003</v>
      </c>
      <c r="H911">
        <v>25</v>
      </c>
    </row>
    <row r="912" spans="1:8" x14ac:dyDescent="0.5">
      <c r="A912" s="3">
        <v>275</v>
      </c>
      <c r="B912" s="3">
        <v>88</v>
      </c>
      <c r="C912" s="3" t="str">
        <f t="shared" si="14"/>
        <v>Old</v>
      </c>
      <c r="D912" t="s">
        <v>5</v>
      </c>
      <c r="E912" t="s">
        <v>4</v>
      </c>
      <c r="F912" s="1">
        <v>45179</v>
      </c>
      <c r="G912" s="10">
        <v>91813.58</v>
      </c>
      <c r="H912">
        <v>23</v>
      </c>
    </row>
    <row r="913" spans="1:8" x14ac:dyDescent="0.5">
      <c r="A913" s="3">
        <v>429</v>
      </c>
      <c r="B913" s="3">
        <v>102</v>
      </c>
      <c r="C913" s="3" t="str">
        <f t="shared" si="14"/>
        <v>Old</v>
      </c>
      <c r="D913" t="s">
        <v>3</v>
      </c>
      <c r="E913" t="s">
        <v>1</v>
      </c>
      <c r="F913" s="1">
        <v>44978</v>
      </c>
      <c r="G913" s="10">
        <v>32286.85</v>
      </c>
      <c r="H913">
        <v>26</v>
      </c>
    </row>
    <row r="914" spans="1:8" x14ac:dyDescent="0.5">
      <c r="A914" s="3">
        <v>211</v>
      </c>
      <c r="B914" s="3">
        <v>97</v>
      </c>
      <c r="C914" s="3" t="str">
        <f t="shared" si="14"/>
        <v>Old</v>
      </c>
      <c r="D914" t="s">
        <v>5</v>
      </c>
      <c r="E914" t="s">
        <v>4</v>
      </c>
      <c r="F914" s="1">
        <v>45175</v>
      </c>
      <c r="G914" s="10">
        <v>89431.22</v>
      </c>
      <c r="H914">
        <v>3</v>
      </c>
    </row>
    <row r="915" spans="1:8" x14ac:dyDescent="0.5">
      <c r="A915" s="3">
        <v>442</v>
      </c>
      <c r="B915" s="3">
        <v>49</v>
      </c>
      <c r="C915" s="3" t="str">
        <f t="shared" si="14"/>
        <v>Middle Age</v>
      </c>
      <c r="D915" t="s">
        <v>5</v>
      </c>
      <c r="E915" t="s">
        <v>2</v>
      </c>
      <c r="F915" s="1">
        <v>45003</v>
      </c>
      <c r="G915" s="10">
        <v>10212.84</v>
      </c>
      <c r="H915">
        <v>13</v>
      </c>
    </row>
    <row r="916" spans="1:8" x14ac:dyDescent="0.5">
      <c r="A916" s="3">
        <v>1</v>
      </c>
      <c r="B916" s="3">
        <v>94</v>
      </c>
      <c r="C916" s="3" t="str">
        <f t="shared" si="14"/>
        <v>Old</v>
      </c>
      <c r="D916" t="s">
        <v>3</v>
      </c>
      <c r="E916" t="s">
        <v>0</v>
      </c>
      <c r="F916" s="1">
        <v>45137</v>
      </c>
      <c r="G916" s="10">
        <v>85098.38</v>
      </c>
      <c r="H916">
        <v>10</v>
      </c>
    </row>
    <row r="917" spans="1:8" x14ac:dyDescent="0.5">
      <c r="A917" s="3">
        <v>13</v>
      </c>
      <c r="B917" s="3">
        <v>23</v>
      </c>
      <c r="C917" s="3" t="str">
        <f t="shared" si="14"/>
        <v>Young</v>
      </c>
      <c r="D917" t="s">
        <v>5</v>
      </c>
      <c r="E917" t="s">
        <v>2</v>
      </c>
      <c r="F917" s="1">
        <v>44931</v>
      </c>
      <c r="G917" s="10">
        <v>52950.44</v>
      </c>
      <c r="H917">
        <v>19</v>
      </c>
    </row>
    <row r="918" spans="1:8" x14ac:dyDescent="0.5">
      <c r="A918" s="3">
        <v>46</v>
      </c>
      <c r="B918" s="3">
        <v>69</v>
      </c>
      <c r="C918" s="3" t="str">
        <f t="shared" si="14"/>
        <v>Old</v>
      </c>
      <c r="D918" t="s">
        <v>5</v>
      </c>
      <c r="E918" t="s">
        <v>1</v>
      </c>
      <c r="F918" s="1">
        <v>44982</v>
      </c>
      <c r="G918" s="10">
        <v>60015.28</v>
      </c>
      <c r="H918">
        <v>27</v>
      </c>
    </row>
    <row r="919" spans="1:8" x14ac:dyDescent="0.5">
      <c r="A919" s="3">
        <v>278</v>
      </c>
      <c r="B919" s="3">
        <v>23</v>
      </c>
      <c r="C919" s="3" t="str">
        <f t="shared" si="14"/>
        <v>Young</v>
      </c>
      <c r="D919" t="s">
        <v>5</v>
      </c>
      <c r="E919" t="s">
        <v>4</v>
      </c>
      <c r="F919" s="1">
        <v>45246</v>
      </c>
      <c r="G919" s="10">
        <v>54438.23</v>
      </c>
      <c r="H919">
        <v>27</v>
      </c>
    </row>
    <row r="920" spans="1:8" x14ac:dyDescent="0.5">
      <c r="A920" s="3">
        <v>273</v>
      </c>
      <c r="B920" s="3">
        <v>23</v>
      </c>
      <c r="C920" s="3" t="str">
        <f t="shared" si="14"/>
        <v>Young</v>
      </c>
      <c r="D920" t="s">
        <v>3</v>
      </c>
      <c r="E920" t="s">
        <v>1</v>
      </c>
      <c r="F920" s="1">
        <v>45260</v>
      </c>
      <c r="G920" s="10">
        <v>47147.64</v>
      </c>
      <c r="H920">
        <v>3</v>
      </c>
    </row>
    <row r="921" spans="1:8" x14ac:dyDescent="0.5">
      <c r="A921" s="3">
        <v>175</v>
      </c>
      <c r="B921" s="3">
        <v>57</v>
      </c>
      <c r="C921" s="3" t="str">
        <f t="shared" si="14"/>
        <v>Old</v>
      </c>
      <c r="D921" t="s">
        <v>3</v>
      </c>
      <c r="E921" t="s">
        <v>4</v>
      </c>
      <c r="F921" s="1">
        <v>44977</v>
      </c>
      <c r="G921" s="10">
        <v>3991.82</v>
      </c>
      <c r="H921">
        <v>5</v>
      </c>
    </row>
    <row r="922" spans="1:8" x14ac:dyDescent="0.5">
      <c r="A922" s="3">
        <v>476</v>
      </c>
      <c r="B922" s="3">
        <v>72</v>
      </c>
      <c r="C922" s="3" t="str">
        <f t="shared" si="14"/>
        <v>Old</v>
      </c>
      <c r="D922" t="s">
        <v>3</v>
      </c>
      <c r="E922" t="s">
        <v>0</v>
      </c>
      <c r="F922" s="1">
        <v>45194</v>
      </c>
      <c r="G922" s="10">
        <v>14878.03</v>
      </c>
      <c r="H922">
        <v>25</v>
      </c>
    </row>
    <row r="923" spans="1:8" x14ac:dyDescent="0.5">
      <c r="A923" s="3">
        <v>445</v>
      </c>
      <c r="B923" s="3">
        <v>72</v>
      </c>
      <c r="C923" s="3" t="str">
        <f t="shared" si="14"/>
        <v>Old</v>
      </c>
      <c r="D923" t="s">
        <v>3</v>
      </c>
      <c r="E923" t="s">
        <v>6</v>
      </c>
      <c r="F923" s="1">
        <v>44978</v>
      </c>
      <c r="G923" s="10">
        <v>14555.45</v>
      </c>
      <c r="H923">
        <v>5</v>
      </c>
    </row>
    <row r="924" spans="1:8" x14ac:dyDescent="0.5">
      <c r="A924" s="3">
        <v>272</v>
      </c>
      <c r="B924" s="3">
        <v>23</v>
      </c>
      <c r="C924" s="3" t="str">
        <f t="shared" si="14"/>
        <v>Young</v>
      </c>
      <c r="D924" t="s">
        <v>5</v>
      </c>
      <c r="E924" t="s">
        <v>0</v>
      </c>
      <c r="F924" s="1">
        <v>44971</v>
      </c>
      <c r="G924" s="10">
        <v>61001.48</v>
      </c>
      <c r="H924">
        <v>2</v>
      </c>
    </row>
    <row r="925" spans="1:8" x14ac:dyDescent="0.5">
      <c r="A925" s="3">
        <v>363</v>
      </c>
      <c r="B925" s="3">
        <v>81</v>
      </c>
      <c r="C925" s="3" t="str">
        <f t="shared" si="14"/>
        <v>Old</v>
      </c>
      <c r="D925" t="s">
        <v>5</v>
      </c>
      <c r="E925" t="s">
        <v>1</v>
      </c>
      <c r="F925" s="1">
        <v>45057</v>
      </c>
      <c r="G925" s="10">
        <v>95308.32</v>
      </c>
      <c r="H925">
        <v>7</v>
      </c>
    </row>
    <row r="926" spans="1:8" x14ac:dyDescent="0.5">
      <c r="A926" s="3">
        <v>251</v>
      </c>
      <c r="B926" s="3">
        <v>47</v>
      </c>
      <c r="C926" s="3" t="str">
        <f t="shared" si="14"/>
        <v>Middle Age</v>
      </c>
      <c r="D926" t="s">
        <v>5</v>
      </c>
      <c r="E926" t="s">
        <v>6</v>
      </c>
      <c r="F926" s="1">
        <v>45254</v>
      </c>
      <c r="G926" s="10">
        <v>26533.35</v>
      </c>
      <c r="H926">
        <v>10</v>
      </c>
    </row>
    <row r="927" spans="1:8" x14ac:dyDescent="0.5">
      <c r="A927" s="3">
        <v>404</v>
      </c>
      <c r="B927" s="3">
        <v>52</v>
      </c>
      <c r="C927" s="3" t="str">
        <f t="shared" si="14"/>
        <v>Middle Age</v>
      </c>
      <c r="D927" t="s">
        <v>5</v>
      </c>
      <c r="E927" t="s">
        <v>1</v>
      </c>
      <c r="F927" s="1">
        <v>45013</v>
      </c>
      <c r="G927" s="10">
        <v>74860.53</v>
      </c>
      <c r="H927">
        <v>24</v>
      </c>
    </row>
    <row r="928" spans="1:8" x14ac:dyDescent="0.5">
      <c r="A928" s="3">
        <v>203</v>
      </c>
      <c r="B928" s="3">
        <v>72</v>
      </c>
      <c r="C928" s="3" t="str">
        <f t="shared" si="14"/>
        <v>Old</v>
      </c>
      <c r="D928" t="s">
        <v>3</v>
      </c>
      <c r="E928" t="s">
        <v>4</v>
      </c>
      <c r="F928" s="1">
        <v>45258</v>
      </c>
      <c r="G928" s="10">
        <v>26690.52</v>
      </c>
      <c r="H928">
        <v>6</v>
      </c>
    </row>
    <row r="929" spans="1:8" x14ac:dyDescent="0.5">
      <c r="A929" s="3">
        <v>496</v>
      </c>
      <c r="B929" s="3">
        <v>91</v>
      </c>
      <c r="C929" s="3" t="str">
        <f t="shared" si="14"/>
        <v>Old</v>
      </c>
      <c r="D929" t="s">
        <v>5</v>
      </c>
      <c r="E929" t="s">
        <v>0</v>
      </c>
      <c r="F929" s="1">
        <v>45158</v>
      </c>
      <c r="G929" s="10">
        <v>66593.320000000007</v>
      </c>
      <c r="H929">
        <v>3</v>
      </c>
    </row>
    <row r="930" spans="1:8" x14ac:dyDescent="0.5">
      <c r="A930" s="3">
        <v>429</v>
      </c>
      <c r="B930" s="3">
        <v>46</v>
      </c>
      <c r="C930" s="3" t="str">
        <f t="shared" si="14"/>
        <v>Middle Age</v>
      </c>
      <c r="D930" t="s">
        <v>5</v>
      </c>
      <c r="E930" t="s">
        <v>6</v>
      </c>
      <c r="F930" s="1">
        <v>44977</v>
      </c>
      <c r="G930" s="10">
        <v>94798.79</v>
      </c>
      <c r="H930">
        <v>28</v>
      </c>
    </row>
    <row r="931" spans="1:8" x14ac:dyDescent="0.5">
      <c r="A931" s="3">
        <v>492</v>
      </c>
      <c r="B931" s="3">
        <v>90</v>
      </c>
      <c r="C931" s="3" t="str">
        <f t="shared" si="14"/>
        <v>Old</v>
      </c>
      <c r="D931" t="s">
        <v>5</v>
      </c>
      <c r="E931" t="s">
        <v>4</v>
      </c>
      <c r="F931" s="1">
        <v>45269</v>
      </c>
      <c r="G931" s="10">
        <v>54311.51</v>
      </c>
      <c r="H931">
        <v>17</v>
      </c>
    </row>
    <row r="932" spans="1:8" x14ac:dyDescent="0.5">
      <c r="A932" s="3">
        <v>90</v>
      </c>
      <c r="B932" s="3">
        <v>95</v>
      </c>
      <c r="C932" s="3" t="str">
        <f t="shared" si="14"/>
        <v>Old</v>
      </c>
      <c r="D932" t="s">
        <v>5</v>
      </c>
      <c r="E932" t="s">
        <v>4</v>
      </c>
      <c r="F932" s="1">
        <v>45303</v>
      </c>
      <c r="G932" s="10">
        <v>49586.1</v>
      </c>
      <c r="H932">
        <v>16</v>
      </c>
    </row>
    <row r="933" spans="1:8" x14ac:dyDescent="0.5">
      <c r="A933" s="3">
        <v>321</v>
      </c>
      <c r="B933" s="3">
        <v>23</v>
      </c>
      <c r="C933" s="3" t="str">
        <f t="shared" si="14"/>
        <v>Young</v>
      </c>
      <c r="D933" t="s">
        <v>5</v>
      </c>
      <c r="E933" t="s">
        <v>0</v>
      </c>
      <c r="F933" s="1">
        <v>45195</v>
      </c>
      <c r="G933" s="10">
        <v>88600.92</v>
      </c>
      <c r="H933">
        <v>24</v>
      </c>
    </row>
    <row r="934" spans="1:8" x14ac:dyDescent="0.5">
      <c r="A934" s="3">
        <v>89</v>
      </c>
      <c r="B934" s="3">
        <v>23</v>
      </c>
      <c r="C934" s="3" t="str">
        <f t="shared" si="14"/>
        <v>Young</v>
      </c>
      <c r="D934" t="s">
        <v>3</v>
      </c>
      <c r="E934" t="s">
        <v>4</v>
      </c>
      <c r="F934" s="1">
        <v>45221</v>
      </c>
      <c r="G934" s="10">
        <v>60469.67</v>
      </c>
      <c r="H934">
        <v>11</v>
      </c>
    </row>
    <row r="935" spans="1:8" x14ac:dyDescent="0.5">
      <c r="A935" s="3">
        <v>33</v>
      </c>
      <c r="B935" s="3">
        <v>23</v>
      </c>
      <c r="C935" s="3" t="str">
        <f t="shared" si="14"/>
        <v>Young</v>
      </c>
      <c r="D935" t="s">
        <v>3</v>
      </c>
      <c r="E935" t="s">
        <v>0</v>
      </c>
      <c r="F935" s="1">
        <v>44957</v>
      </c>
      <c r="G935" s="10">
        <v>97356.9</v>
      </c>
      <c r="H935">
        <v>16</v>
      </c>
    </row>
    <row r="936" spans="1:8" x14ac:dyDescent="0.5">
      <c r="A936" s="3">
        <v>40</v>
      </c>
      <c r="B936" s="3">
        <v>23</v>
      </c>
      <c r="C936" s="3" t="str">
        <f t="shared" si="14"/>
        <v>Young</v>
      </c>
      <c r="D936" t="s">
        <v>3</v>
      </c>
      <c r="E936" t="s">
        <v>4</v>
      </c>
      <c r="F936" s="1">
        <v>45206</v>
      </c>
      <c r="G936" s="10">
        <v>35940.83</v>
      </c>
      <c r="H936">
        <v>25</v>
      </c>
    </row>
    <row r="937" spans="1:8" x14ac:dyDescent="0.5">
      <c r="A937" s="3">
        <v>177</v>
      </c>
      <c r="B937" s="3">
        <v>71</v>
      </c>
      <c r="C937" s="3" t="str">
        <f t="shared" si="14"/>
        <v>Old</v>
      </c>
      <c r="D937" t="s">
        <v>5</v>
      </c>
      <c r="E937" t="s">
        <v>4</v>
      </c>
      <c r="F937" s="1">
        <v>45075</v>
      </c>
      <c r="G937" s="10">
        <v>94543.74</v>
      </c>
      <c r="H937">
        <v>21</v>
      </c>
    </row>
    <row r="938" spans="1:8" x14ac:dyDescent="0.5">
      <c r="A938" s="3">
        <v>463</v>
      </c>
      <c r="B938" s="3">
        <v>62</v>
      </c>
      <c r="C938" s="3" t="str">
        <f t="shared" si="14"/>
        <v>Old</v>
      </c>
      <c r="D938" t="s">
        <v>3</v>
      </c>
      <c r="E938" t="s">
        <v>1</v>
      </c>
      <c r="F938" s="1">
        <v>45238</v>
      </c>
      <c r="G938" s="10">
        <v>74006.14</v>
      </c>
      <c r="H938">
        <v>9</v>
      </c>
    </row>
    <row r="939" spans="1:8" x14ac:dyDescent="0.5">
      <c r="A939" s="3">
        <v>399</v>
      </c>
      <c r="B939" s="3">
        <v>57</v>
      </c>
      <c r="C939" s="3" t="str">
        <f t="shared" si="14"/>
        <v>Old</v>
      </c>
      <c r="D939" t="s">
        <v>3</v>
      </c>
      <c r="E939" t="s">
        <v>0</v>
      </c>
      <c r="F939" s="1">
        <v>45003</v>
      </c>
      <c r="G939" s="10">
        <v>98966.95</v>
      </c>
      <c r="H939">
        <v>2</v>
      </c>
    </row>
    <row r="940" spans="1:8" x14ac:dyDescent="0.5">
      <c r="A940" s="3">
        <v>28</v>
      </c>
      <c r="B940" s="3">
        <v>75</v>
      </c>
      <c r="C940" s="3" t="str">
        <f t="shared" si="14"/>
        <v>Old</v>
      </c>
      <c r="D940" t="s">
        <v>5</v>
      </c>
      <c r="E940" t="s">
        <v>6</v>
      </c>
      <c r="F940" s="1">
        <v>45096</v>
      </c>
      <c r="G940" s="10">
        <v>417.72</v>
      </c>
      <c r="H940">
        <v>19</v>
      </c>
    </row>
    <row r="941" spans="1:8" x14ac:dyDescent="0.5">
      <c r="A941" s="3">
        <v>436</v>
      </c>
      <c r="B941" s="3">
        <v>70</v>
      </c>
      <c r="C941" s="3" t="str">
        <f t="shared" si="14"/>
        <v>Old</v>
      </c>
      <c r="D941" t="s">
        <v>3</v>
      </c>
      <c r="E941" t="s">
        <v>0</v>
      </c>
      <c r="F941" s="1">
        <v>45231</v>
      </c>
      <c r="G941" s="10">
        <v>62882.1</v>
      </c>
      <c r="H941">
        <v>6</v>
      </c>
    </row>
    <row r="942" spans="1:8" x14ac:dyDescent="0.5">
      <c r="A942" s="3">
        <v>242</v>
      </c>
      <c r="B942" s="3">
        <v>26</v>
      </c>
      <c r="C942" s="3" t="str">
        <f t="shared" si="14"/>
        <v>Young</v>
      </c>
      <c r="D942" t="s">
        <v>5</v>
      </c>
      <c r="E942" t="s">
        <v>2</v>
      </c>
      <c r="F942" s="1">
        <v>45234</v>
      </c>
      <c r="G942" s="10">
        <v>88301.119999999995</v>
      </c>
      <c r="H942">
        <v>11</v>
      </c>
    </row>
    <row r="943" spans="1:8" x14ac:dyDescent="0.5">
      <c r="A943" s="3">
        <v>241</v>
      </c>
      <c r="B943" s="3">
        <v>23</v>
      </c>
      <c r="C943" s="3" t="str">
        <f t="shared" si="14"/>
        <v>Young</v>
      </c>
      <c r="D943" t="s">
        <v>5</v>
      </c>
      <c r="E943" t="s">
        <v>2</v>
      </c>
      <c r="F943" s="1">
        <v>45154</v>
      </c>
      <c r="G943" s="10">
        <v>18259.07</v>
      </c>
      <c r="H943">
        <v>16</v>
      </c>
    </row>
    <row r="944" spans="1:8" x14ac:dyDescent="0.5">
      <c r="A944" s="3">
        <v>259</v>
      </c>
      <c r="B944" s="3">
        <v>33</v>
      </c>
      <c r="C944" s="3" t="str">
        <f t="shared" si="14"/>
        <v>Middle Age</v>
      </c>
      <c r="D944" t="s">
        <v>5</v>
      </c>
      <c r="E944" t="s">
        <v>1</v>
      </c>
      <c r="F944" s="1">
        <v>45284</v>
      </c>
      <c r="G944" s="10">
        <v>83293.759999999995</v>
      </c>
      <c r="H944">
        <v>6</v>
      </c>
    </row>
    <row r="945" spans="1:8" x14ac:dyDescent="0.5">
      <c r="A945" s="3">
        <v>210</v>
      </c>
      <c r="B945" s="3">
        <v>1</v>
      </c>
      <c r="C945" s="3" t="str">
        <f t="shared" si="14"/>
        <v>Young</v>
      </c>
      <c r="D945" t="s">
        <v>3</v>
      </c>
      <c r="E945" t="s">
        <v>0</v>
      </c>
      <c r="F945" s="1">
        <v>45320</v>
      </c>
      <c r="G945" s="10">
        <v>94213.93</v>
      </c>
      <c r="H945">
        <v>5</v>
      </c>
    </row>
    <row r="946" spans="1:8" x14ac:dyDescent="0.5">
      <c r="A946" s="3">
        <v>185</v>
      </c>
      <c r="B946" s="3">
        <v>23</v>
      </c>
      <c r="C946" s="3" t="str">
        <f t="shared" si="14"/>
        <v>Young</v>
      </c>
      <c r="D946" t="s">
        <v>5</v>
      </c>
      <c r="E946" t="s">
        <v>4</v>
      </c>
      <c r="F946" s="1">
        <v>45323</v>
      </c>
      <c r="G946" s="10">
        <v>60616.5</v>
      </c>
      <c r="H946">
        <v>4</v>
      </c>
    </row>
    <row r="947" spans="1:8" x14ac:dyDescent="0.5">
      <c r="A947" s="3">
        <v>495</v>
      </c>
      <c r="B947" s="3">
        <v>72</v>
      </c>
      <c r="C947" s="3" t="str">
        <f t="shared" si="14"/>
        <v>Old</v>
      </c>
      <c r="D947" t="s">
        <v>5</v>
      </c>
      <c r="E947" t="s">
        <v>0</v>
      </c>
      <c r="F947" s="1">
        <v>45240</v>
      </c>
      <c r="G947" s="10">
        <v>14209.73</v>
      </c>
      <c r="H947">
        <v>23</v>
      </c>
    </row>
    <row r="948" spans="1:8" x14ac:dyDescent="0.5">
      <c r="A948" s="3">
        <v>323</v>
      </c>
      <c r="B948" s="3">
        <v>73</v>
      </c>
      <c r="C948" s="3" t="str">
        <f t="shared" si="14"/>
        <v>Old</v>
      </c>
      <c r="D948" t="s">
        <v>3</v>
      </c>
      <c r="E948" t="s">
        <v>0</v>
      </c>
      <c r="F948" s="1">
        <v>45006</v>
      </c>
      <c r="G948" s="10">
        <v>1307.6500000000001</v>
      </c>
      <c r="H948">
        <v>22</v>
      </c>
    </row>
    <row r="949" spans="1:8" x14ac:dyDescent="0.5">
      <c r="A949" s="3">
        <v>243</v>
      </c>
      <c r="B949" s="3">
        <v>47</v>
      </c>
      <c r="C949" s="3" t="str">
        <f t="shared" si="14"/>
        <v>Middle Age</v>
      </c>
      <c r="D949" t="s">
        <v>5</v>
      </c>
      <c r="E949" t="s">
        <v>6</v>
      </c>
      <c r="F949" s="1">
        <v>45182</v>
      </c>
      <c r="G949" s="10">
        <v>57085.8</v>
      </c>
      <c r="H949">
        <v>1</v>
      </c>
    </row>
    <row r="950" spans="1:8" x14ac:dyDescent="0.5">
      <c r="A950" s="3">
        <v>496</v>
      </c>
      <c r="B950" s="3">
        <v>72</v>
      </c>
      <c r="C950" s="3" t="str">
        <f t="shared" si="14"/>
        <v>Old</v>
      </c>
      <c r="D950" t="s">
        <v>3</v>
      </c>
      <c r="E950" t="s">
        <v>1</v>
      </c>
      <c r="F950" s="1">
        <v>45258</v>
      </c>
      <c r="G950" s="10">
        <v>53797.46</v>
      </c>
      <c r="H950">
        <v>1</v>
      </c>
    </row>
    <row r="951" spans="1:8" x14ac:dyDescent="0.5">
      <c r="A951" s="3">
        <v>31</v>
      </c>
      <c r="B951" s="3">
        <v>72</v>
      </c>
      <c r="C951" s="3" t="str">
        <f t="shared" si="14"/>
        <v>Old</v>
      </c>
      <c r="D951" t="s">
        <v>3</v>
      </c>
      <c r="E951" t="s">
        <v>4</v>
      </c>
      <c r="F951" s="1">
        <v>44996</v>
      </c>
      <c r="G951" s="10">
        <v>83246.559999999998</v>
      </c>
      <c r="H951">
        <v>8</v>
      </c>
    </row>
    <row r="952" spans="1:8" x14ac:dyDescent="0.5">
      <c r="A952" s="3">
        <v>330</v>
      </c>
      <c r="B952" s="3">
        <v>23</v>
      </c>
      <c r="C952" s="3" t="str">
        <f t="shared" si="14"/>
        <v>Young</v>
      </c>
      <c r="D952" t="s">
        <v>3</v>
      </c>
      <c r="E952" t="s">
        <v>2</v>
      </c>
      <c r="F952" s="1">
        <v>45067</v>
      </c>
      <c r="G952" s="10">
        <v>62833.07</v>
      </c>
      <c r="H952">
        <v>3</v>
      </c>
    </row>
    <row r="953" spans="1:8" x14ac:dyDescent="0.5">
      <c r="A953" s="3">
        <v>216</v>
      </c>
      <c r="B953" s="3">
        <v>23</v>
      </c>
      <c r="C953" s="3" t="str">
        <f t="shared" si="14"/>
        <v>Young</v>
      </c>
      <c r="D953" t="s">
        <v>3</v>
      </c>
      <c r="E953" t="s">
        <v>0</v>
      </c>
      <c r="F953" s="1">
        <v>45283</v>
      </c>
      <c r="G953" s="10">
        <v>1316.76</v>
      </c>
      <c r="H953">
        <v>26</v>
      </c>
    </row>
    <row r="954" spans="1:8" x14ac:dyDescent="0.5">
      <c r="A954" s="3">
        <v>241</v>
      </c>
      <c r="B954" s="3">
        <v>23</v>
      </c>
      <c r="C954" s="3" t="str">
        <f t="shared" si="14"/>
        <v>Young</v>
      </c>
      <c r="D954" t="s">
        <v>5</v>
      </c>
      <c r="E954" t="s">
        <v>4</v>
      </c>
      <c r="F954" s="1">
        <v>45028</v>
      </c>
      <c r="G954" s="10">
        <v>6688.95</v>
      </c>
      <c r="H954">
        <v>23</v>
      </c>
    </row>
    <row r="955" spans="1:8" x14ac:dyDescent="0.5">
      <c r="A955" s="3">
        <v>325</v>
      </c>
      <c r="B955" s="3">
        <v>71</v>
      </c>
      <c r="C955" s="3" t="str">
        <f t="shared" si="14"/>
        <v>Old</v>
      </c>
      <c r="D955" t="s">
        <v>5</v>
      </c>
      <c r="E955" t="s">
        <v>2</v>
      </c>
      <c r="F955" s="1">
        <v>45170</v>
      </c>
      <c r="G955" s="10">
        <v>38677.629999999997</v>
      </c>
      <c r="H955">
        <v>22</v>
      </c>
    </row>
    <row r="956" spans="1:8" x14ac:dyDescent="0.5">
      <c r="A956" s="3">
        <v>302</v>
      </c>
      <c r="B956" s="3">
        <v>45</v>
      </c>
      <c r="C956" s="3" t="str">
        <f t="shared" si="14"/>
        <v>Middle Age</v>
      </c>
      <c r="D956" t="s">
        <v>3</v>
      </c>
      <c r="E956" t="s">
        <v>0</v>
      </c>
      <c r="F956" s="1">
        <v>45138</v>
      </c>
      <c r="G956" s="10">
        <v>33671.54</v>
      </c>
      <c r="H956">
        <v>18</v>
      </c>
    </row>
    <row r="957" spans="1:8" x14ac:dyDescent="0.5">
      <c r="A957" s="3">
        <v>301</v>
      </c>
      <c r="B957" s="3">
        <v>23</v>
      </c>
      <c r="C957" s="3" t="str">
        <f t="shared" si="14"/>
        <v>Young</v>
      </c>
      <c r="D957" t="s">
        <v>5</v>
      </c>
      <c r="E957" t="s">
        <v>1</v>
      </c>
      <c r="F957" s="1">
        <v>45108</v>
      </c>
      <c r="G957" s="10">
        <v>93127.08</v>
      </c>
      <c r="H957">
        <v>19</v>
      </c>
    </row>
    <row r="958" spans="1:8" x14ac:dyDescent="0.5">
      <c r="A958" s="3">
        <v>101</v>
      </c>
      <c r="B958" s="3">
        <v>65</v>
      </c>
      <c r="C958" s="3" t="str">
        <f t="shared" si="14"/>
        <v>Old</v>
      </c>
      <c r="D958" t="s">
        <v>5</v>
      </c>
      <c r="E958" t="s">
        <v>0</v>
      </c>
      <c r="F958" s="1">
        <v>45239</v>
      </c>
      <c r="G958" s="10">
        <v>78274.5</v>
      </c>
      <c r="H958">
        <v>2</v>
      </c>
    </row>
    <row r="959" spans="1:8" x14ac:dyDescent="0.5">
      <c r="A959" s="3">
        <v>415</v>
      </c>
      <c r="B959" s="3">
        <v>23</v>
      </c>
      <c r="C959" s="3" t="str">
        <f t="shared" si="14"/>
        <v>Young</v>
      </c>
      <c r="D959" t="s">
        <v>5</v>
      </c>
      <c r="E959" t="s">
        <v>2</v>
      </c>
      <c r="F959" s="1">
        <v>45048</v>
      </c>
      <c r="G959" s="10">
        <v>99014.1</v>
      </c>
      <c r="H959">
        <v>14</v>
      </c>
    </row>
    <row r="960" spans="1:8" x14ac:dyDescent="0.5">
      <c r="A960" s="3">
        <v>81</v>
      </c>
      <c r="B960" s="3">
        <v>104</v>
      </c>
      <c r="C960" s="3" t="str">
        <f t="shared" si="14"/>
        <v>Old</v>
      </c>
      <c r="D960" t="s">
        <v>3</v>
      </c>
      <c r="E960" t="s">
        <v>2</v>
      </c>
      <c r="F960" s="1">
        <v>45169</v>
      </c>
      <c r="G960" s="10">
        <v>67075.78</v>
      </c>
      <c r="H960">
        <v>2</v>
      </c>
    </row>
    <row r="961" spans="1:8" x14ac:dyDescent="0.5">
      <c r="A961" s="3">
        <v>70</v>
      </c>
      <c r="B961" s="3">
        <v>22</v>
      </c>
      <c r="C961" s="3" t="str">
        <f t="shared" si="14"/>
        <v>Young</v>
      </c>
      <c r="D961" t="s">
        <v>3</v>
      </c>
      <c r="E961" t="s">
        <v>1</v>
      </c>
      <c r="F961" s="1">
        <v>45192</v>
      </c>
      <c r="G961" s="10">
        <v>28942.799999999999</v>
      </c>
      <c r="H961">
        <v>22</v>
      </c>
    </row>
    <row r="962" spans="1:8" x14ac:dyDescent="0.5">
      <c r="A962" s="3">
        <v>181</v>
      </c>
      <c r="B962" s="3">
        <v>23</v>
      </c>
      <c r="C962" s="3" t="str">
        <f t="shared" ref="C962:C1025" si="15">IF(B962&lt;=30,"Young", IF(B962&lt;=55,"Middle Age",IF(B962&gt;55,"Old","Not found")))</f>
        <v>Young</v>
      </c>
      <c r="D962" t="s">
        <v>5</v>
      </c>
      <c r="E962" t="s">
        <v>4</v>
      </c>
      <c r="F962" s="1">
        <v>45062</v>
      </c>
      <c r="G962" s="10">
        <v>20151.060000000001</v>
      </c>
      <c r="H962">
        <v>6</v>
      </c>
    </row>
    <row r="963" spans="1:8" x14ac:dyDescent="0.5">
      <c r="A963" s="3">
        <v>168</v>
      </c>
      <c r="B963" s="3">
        <v>72</v>
      </c>
      <c r="C963" s="3" t="str">
        <f t="shared" si="15"/>
        <v>Old</v>
      </c>
      <c r="D963" t="s">
        <v>3</v>
      </c>
      <c r="E963" t="s">
        <v>0</v>
      </c>
      <c r="F963" s="1">
        <v>45295</v>
      </c>
      <c r="G963" s="10">
        <v>42877.72</v>
      </c>
      <c r="H963">
        <v>6</v>
      </c>
    </row>
    <row r="964" spans="1:8" x14ac:dyDescent="0.5">
      <c r="A964" s="3">
        <v>450</v>
      </c>
      <c r="B964" s="3">
        <v>74</v>
      </c>
      <c r="C964" s="3" t="str">
        <f t="shared" si="15"/>
        <v>Old</v>
      </c>
      <c r="D964" t="s">
        <v>3</v>
      </c>
      <c r="E964" t="s">
        <v>0</v>
      </c>
      <c r="F964" s="1">
        <v>45084</v>
      </c>
      <c r="G964" s="10">
        <v>45677.37</v>
      </c>
      <c r="H964">
        <v>1</v>
      </c>
    </row>
    <row r="965" spans="1:8" x14ac:dyDescent="0.5">
      <c r="A965" s="3">
        <v>219</v>
      </c>
      <c r="B965" s="3">
        <v>74</v>
      </c>
      <c r="C965" s="3" t="str">
        <f t="shared" si="15"/>
        <v>Old</v>
      </c>
      <c r="D965" t="s">
        <v>3</v>
      </c>
      <c r="E965" t="s">
        <v>4</v>
      </c>
      <c r="F965" s="1">
        <v>45182</v>
      </c>
      <c r="G965" s="10">
        <v>90045.92</v>
      </c>
      <c r="H965">
        <v>5</v>
      </c>
    </row>
    <row r="966" spans="1:8" x14ac:dyDescent="0.5">
      <c r="A966" s="3">
        <v>353</v>
      </c>
      <c r="B966" s="3">
        <v>93</v>
      </c>
      <c r="C966" s="3" t="str">
        <f t="shared" si="15"/>
        <v>Old</v>
      </c>
      <c r="D966" t="s">
        <v>3</v>
      </c>
      <c r="E966" t="s">
        <v>2</v>
      </c>
      <c r="F966" s="1">
        <v>45048</v>
      </c>
      <c r="G966" s="10">
        <v>92718.1</v>
      </c>
      <c r="H966">
        <v>20</v>
      </c>
    </row>
    <row r="967" spans="1:8" x14ac:dyDescent="0.5">
      <c r="A967" s="3">
        <v>304</v>
      </c>
      <c r="B967" s="3">
        <v>23</v>
      </c>
      <c r="C967" s="3" t="str">
        <f t="shared" si="15"/>
        <v>Young</v>
      </c>
      <c r="D967" t="s">
        <v>3</v>
      </c>
      <c r="E967" t="s">
        <v>6</v>
      </c>
      <c r="F967" s="1">
        <v>45295</v>
      </c>
      <c r="G967" s="10">
        <v>77124.45</v>
      </c>
      <c r="H967">
        <v>24</v>
      </c>
    </row>
    <row r="968" spans="1:8" x14ac:dyDescent="0.5">
      <c r="A968" s="3">
        <v>251</v>
      </c>
      <c r="B968" s="3">
        <v>63</v>
      </c>
      <c r="C968" s="3" t="str">
        <f t="shared" si="15"/>
        <v>Old</v>
      </c>
      <c r="D968" t="s">
        <v>3</v>
      </c>
      <c r="E968" t="s">
        <v>6</v>
      </c>
      <c r="F968" s="1">
        <v>45324</v>
      </c>
      <c r="G968" s="10">
        <v>4964.3599999999997</v>
      </c>
      <c r="H968">
        <v>2</v>
      </c>
    </row>
    <row r="969" spans="1:8" x14ac:dyDescent="0.5">
      <c r="A969" s="3">
        <v>128</v>
      </c>
      <c r="B969" s="3">
        <v>38</v>
      </c>
      <c r="C969" s="3" t="str">
        <f t="shared" si="15"/>
        <v>Middle Age</v>
      </c>
      <c r="D969" t="s">
        <v>3</v>
      </c>
      <c r="E969" t="s">
        <v>2</v>
      </c>
      <c r="F969" s="1">
        <v>45104</v>
      </c>
      <c r="G969" s="10">
        <v>14288.89</v>
      </c>
      <c r="H969">
        <v>1</v>
      </c>
    </row>
    <row r="970" spans="1:8" x14ac:dyDescent="0.5">
      <c r="A970" s="3">
        <v>460</v>
      </c>
      <c r="B970" s="3">
        <v>25</v>
      </c>
      <c r="C970" s="3" t="str">
        <f t="shared" si="15"/>
        <v>Young</v>
      </c>
      <c r="D970" t="s">
        <v>5</v>
      </c>
      <c r="E970" t="s">
        <v>4</v>
      </c>
      <c r="F970" s="1">
        <v>45314</v>
      </c>
      <c r="G970" s="10">
        <v>25009.48</v>
      </c>
      <c r="H970">
        <v>2</v>
      </c>
    </row>
    <row r="971" spans="1:8" x14ac:dyDescent="0.5">
      <c r="A971" s="3">
        <v>296</v>
      </c>
      <c r="B971" s="3">
        <v>76</v>
      </c>
      <c r="C971" s="3" t="str">
        <f t="shared" si="15"/>
        <v>Old</v>
      </c>
      <c r="D971" t="s">
        <v>3</v>
      </c>
      <c r="E971" t="s">
        <v>6</v>
      </c>
      <c r="F971" s="1">
        <v>45305</v>
      </c>
      <c r="G971" s="10">
        <v>43386.6</v>
      </c>
      <c r="H971">
        <v>2</v>
      </c>
    </row>
    <row r="972" spans="1:8" x14ac:dyDescent="0.5">
      <c r="A972" s="3">
        <v>396</v>
      </c>
      <c r="B972" s="3">
        <v>23</v>
      </c>
      <c r="C972" s="3" t="str">
        <f t="shared" si="15"/>
        <v>Young</v>
      </c>
      <c r="D972" t="s">
        <v>3</v>
      </c>
      <c r="E972" t="s">
        <v>0</v>
      </c>
      <c r="F972" s="1">
        <v>45270</v>
      </c>
      <c r="G972" s="10">
        <v>51527.88</v>
      </c>
      <c r="H972">
        <v>28</v>
      </c>
    </row>
    <row r="973" spans="1:8" x14ac:dyDescent="0.5">
      <c r="A973" s="3">
        <v>354</v>
      </c>
      <c r="B973" s="3">
        <v>72</v>
      </c>
      <c r="C973" s="3" t="str">
        <f t="shared" si="15"/>
        <v>Old</v>
      </c>
      <c r="D973" t="s">
        <v>5</v>
      </c>
      <c r="E973" t="s">
        <v>2</v>
      </c>
      <c r="F973" s="1">
        <v>45014</v>
      </c>
      <c r="G973" s="10">
        <v>17814.310000000001</v>
      </c>
      <c r="H973">
        <v>9</v>
      </c>
    </row>
    <row r="974" spans="1:8" x14ac:dyDescent="0.5">
      <c r="A974" s="3">
        <v>311</v>
      </c>
      <c r="B974" s="3">
        <v>35</v>
      </c>
      <c r="C974" s="3" t="str">
        <f t="shared" si="15"/>
        <v>Middle Age</v>
      </c>
      <c r="D974" t="s">
        <v>5</v>
      </c>
      <c r="E974" t="s">
        <v>1</v>
      </c>
      <c r="F974" s="1">
        <v>45277</v>
      </c>
      <c r="G974" s="10">
        <v>40027.31</v>
      </c>
      <c r="H974">
        <v>7</v>
      </c>
    </row>
    <row r="975" spans="1:8" x14ac:dyDescent="0.5">
      <c r="A975" s="3">
        <v>89</v>
      </c>
      <c r="B975" s="3">
        <v>80</v>
      </c>
      <c r="C975" s="3" t="str">
        <f t="shared" si="15"/>
        <v>Old</v>
      </c>
      <c r="D975" t="s">
        <v>5</v>
      </c>
      <c r="E975" t="s">
        <v>1</v>
      </c>
      <c r="F975" s="1">
        <v>45264</v>
      </c>
      <c r="G975" s="10">
        <v>86928.01</v>
      </c>
      <c r="H975">
        <v>23</v>
      </c>
    </row>
    <row r="976" spans="1:8" x14ac:dyDescent="0.5">
      <c r="A976" s="3">
        <v>417</v>
      </c>
      <c r="B976" s="3">
        <v>25</v>
      </c>
      <c r="C976" s="3" t="str">
        <f t="shared" si="15"/>
        <v>Young</v>
      </c>
      <c r="D976" t="s">
        <v>3</v>
      </c>
      <c r="E976" t="s">
        <v>4</v>
      </c>
      <c r="F976" s="1">
        <v>45285</v>
      </c>
      <c r="G976" s="10">
        <v>6552.09</v>
      </c>
      <c r="H976">
        <v>3</v>
      </c>
    </row>
    <row r="977" spans="1:8" x14ac:dyDescent="0.5">
      <c r="A977" s="3">
        <v>423</v>
      </c>
      <c r="B977" s="3">
        <v>53</v>
      </c>
      <c r="C977" s="3" t="str">
        <f t="shared" si="15"/>
        <v>Middle Age</v>
      </c>
      <c r="D977" t="s">
        <v>3</v>
      </c>
      <c r="E977" t="s">
        <v>4</v>
      </c>
      <c r="F977" s="1">
        <v>45255</v>
      </c>
      <c r="G977" s="10">
        <v>64456.35</v>
      </c>
      <c r="H977">
        <v>2</v>
      </c>
    </row>
    <row r="978" spans="1:8" x14ac:dyDescent="0.5">
      <c r="A978" s="3">
        <v>122</v>
      </c>
      <c r="B978" s="3">
        <v>75</v>
      </c>
      <c r="C978" s="3" t="str">
        <f t="shared" si="15"/>
        <v>Old</v>
      </c>
      <c r="D978" t="s">
        <v>3</v>
      </c>
      <c r="E978" t="s">
        <v>4</v>
      </c>
      <c r="F978" s="1">
        <v>45278</v>
      </c>
      <c r="G978" s="10">
        <v>36503.46</v>
      </c>
      <c r="H978">
        <v>15</v>
      </c>
    </row>
    <row r="979" spans="1:8" x14ac:dyDescent="0.5">
      <c r="A979" s="3">
        <v>308</v>
      </c>
      <c r="B979" s="3">
        <v>23</v>
      </c>
      <c r="C979" s="3" t="str">
        <f t="shared" si="15"/>
        <v>Young</v>
      </c>
      <c r="D979" t="s">
        <v>3</v>
      </c>
      <c r="E979" t="s">
        <v>0</v>
      </c>
      <c r="F979" s="1">
        <v>45321</v>
      </c>
      <c r="G979" s="10">
        <v>21212.09</v>
      </c>
      <c r="H979">
        <v>27</v>
      </c>
    </row>
    <row r="980" spans="1:8" x14ac:dyDescent="0.5">
      <c r="A980" s="3">
        <v>477</v>
      </c>
      <c r="B980" s="3">
        <v>54</v>
      </c>
      <c r="C980" s="3" t="str">
        <f t="shared" si="15"/>
        <v>Middle Age</v>
      </c>
      <c r="D980" t="s">
        <v>5</v>
      </c>
      <c r="E980" t="s">
        <v>1</v>
      </c>
      <c r="F980" s="1">
        <v>45254</v>
      </c>
      <c r="G980" s="10">
        <v>50064.21</v>
      </c>
      <c r="H980">
        <v>28</v>
      </c>
    </row>
    <row r="981" spans="1:8" x14ac:dyDescent="0.5">
      <c r="A981" s="3">
        <v>339</v>
      </c>
      <c r="B981" s="3">
        <v>31</v>
      </c>
      <c r="C981" s="3" t="str">
        <f t="shared" si="15"/>
        <v>Middle Age</v>
      </c>
      <c r="D981" t="s">
        <v>3</v>
      </c>
      <c r="E981" t="s">
        <v>0</v>
      </c>
      <c r="F981" s="1">
        <v>45274</v>
      </c>
      <c r="G981" s="10">
        <v>2862.8</v>
      </c>
      <c r="H981">
        <v>21</v>
      </c>
    </row>
    <row r="982" spans="1:8" x14ac:dyDescent="0.5">
      <c r="A982" s="3">
        <v>113</v>
      </c>
      <c r="B982" s="3">
        <v>75</v>
      </c>
      <c r="C982" s="3" t="str">
        <f t="shared" si="15"/>
        <v>Old</v>
      </c>
      <c r="D982" t="s">
        <v>3</v>
      </c>
      <c r="E982" t="s">
        <v>0</v>
      </c>
      <c r="F982" s="1">
        <v>45213</v>
      </c>
      <c r="G982" s="10">
        <v>6946.3</v>
      </c>
      <c r="H982">
        <v>14</v>
      </c>
    </row>
    <row r="983" spans="1:8" x14ac:dyDescent="0.5">
      <c r="A983" s="3">
        <v>130</v>
      </c>
      <c r="B983" s="3">
        <v>23</v>
      </c>
      <c r="C983" s="3" t="str">
        <f t="shared" si="15"/>
        <v>Young</v>
      </c>
      <c r="D983" t="s">
        <v>5</v>
      </c>
      <c r="E983" t="s">
        <v>6</v>
      </c>
      <c r="F983" s="1">
        <v>44989</v>
      </c>
      <c r="G983" s="10">
        <v>21494.97</v>
      </c>
      <c r="H983">
        <v>10</v>
      </c>
    </row>
    <row r="984" spans="1:8" x14ac:dyDescent="0.5">
      <c r="A984" s="3">
        <v>429</v>
      </c>
      <c r="B984" s="3">
        <v>97</v>
      </c>
      <c r="C984" s="3" t="str">
        <f t="shared" si="15"/>
        <v>Old</v>
      </c>
      <c r="D984" t="s">
        <v>3</v>
      </c>
      <c r="E984" t="s">
        <v>4</v>
      </c>
      <c r="F984" s="1">
        <v>45232</v>
      </c>
      <c r="G984" s="10">
        <v>92494.29</v>
      </c>
      <c r="H984">
        <v>3</v>
      </c>
    </row>
    <row r="985" spans="1:8" x14ac:dyDescent="0.5">
      <c r="A985" s="3">
        <v>331</v>
      </c>
      <c r="B985" s="3">
        <v>32</v>
      </c>
      <c r="C985" s="3" t="str">
        <f t="shared" si="15"/>
        <v>Middle Age</v>
      </c>
      <c r="D985" t="s">
        <v>3</v>
      </c>
      <c r="E985" t="s">
        <v>2</v>
      </c>
      <c r="F985" s="1">
        <v>44955</v>
      </c>
      <c r="G985" s="10">
        <v>6672.62</v>
      </c>
      <c r="H985">
        <v>15</v>
      </c>
    </row>
    <row r="986" spans="1:8" x14ac:dyDescent="0.5">
      <c r="A986" s="3">
        <v>203</v>
      </c>
      <c r="B986" s="3">
        <v>26</v>
      </c>
      <c r="C986" s="3" t="str">
        <f t="shared" si="15"/>
        <v>Young</v>
      </c>
      <c r="D986" t="s">
        <v>3</v>
      </c>
      <c r="E986" t="s">
        <v>6</v>
      </c>
      <c r="F986" s="1">
        <v>44972</v>
      </c>
      <c r="G986" s="10">
        <v>68687.41</v>
      </c>
      <c r="H986">
        <v>18</v>
      </c>
    </row>
    <row r="987" spans="1:8" x14ac:dyDescent="0.5">
      <c r="A987" s="3">
        <v>49</v>
      </c>
      <c r="B987" s="3">
        <v>89</v>
      </c>
      <c r="C987" s="3" t="str">
        <f t="shared" si="15"/>
        <v>Old</v>
      </c>
      <c r="D987" t="s">
        <v>3</v>
      </c>
      <c r="E987" t="s">
        <v>2</v>
      </c>
      <c r="F987" s="1">
        <v>45283</v>
      </c>
      <c r="G987" s="10">
        <v>55094.46</v>
      </c>
      <c r="H987">
        <v>23</v>
      </c>
    </row>
    <row r="988" spans="1:8" x14ac:dyDescent="0.5">
      <c r="A988" s="3">
        <v>361</v>
      </c>
      <c r="B988" s="3">
        <v>23</v>
      </c>
      <c r="C988" s="3" t="str">
        <f t="shared" si="15"/>
        <v>Young</v>
      </c>
      <c r="D988" t="s">
        <v>3</v>
      </c>
      <c r="E988" t="s">
        <v>6</v>
      </c>
      <c r="F988" s="1">
        <v>45048</v>
      </c>
      <c r="G988" s="10">
        <v>60556.53</v>
      </c>
      <c r="H988">
        <v>17</v>
      </c>
    </row>
    <row r="989" spans="1:8" x14ac:dyDescent="0.5">
      <c r="A989" s="3">
        <v>3</v>
      </c>
      <c r="B989" s="3">
        <v>1</v>
      </c>
      <c r="C989" s="3" t="str">
        <f t="shared" si="15"/>
        <v>Young</v>
      </c>
      <c r="D989" t="s">
        <v>3</v>
      </c>
      <c r="E989" t="s">
        <v>4</v>
      </c>
      <c r="F989" s="1">
        <v>45256</v>
      </c>
      <c r="G989" s="10">
        <v>75083.8</v>
      </c>
      <c r="H989">
        <v>8</v>
      </c>
    </row>
    <row r="990" spans="1:8" x14ac:dyDescent="0.5">
      <c r="A990" s="3">
        <v>288</v>
      </c>
      <c r="B990" s="3">
        <v>86</v>
      </c>
      <c r="C990" s="3" t="str">
        <f t="shared" si="15"/>
        <v>Old</v>
      </c>
      <c r="D990" t="s">
        <v>3</v>
      </c>
      <c r="E990" t="s">
        <v>4</v>
      </c>
      <c r="F990" s="1">
        <v>45077</v>
      </c>
      <c r="G990" s="10">
        <v>20859.47</v>
      </c>
      <c r="H990">
        <v>21</v>
      </c>
    </row>
    <row r="991" spans="1:8" x14ac:dyDescent="0.5">
      <c r="A991" s="3">
        <v>488</v>
      </c>
      <c r="B991" s="3">
        <v>1</v>
      </c>
      <c r="C991" s="3" t="str">
        <f t="shared" si="15"/>
        <v>Young</v>
      </c>
      <c r="D991" t="s">
        <v>3</v>
      </c>
      <c r="E991" t="s">
        <v>0</v>
      </c>
      <c r="F991" s="1">
        <v>45005</v>
      </c>
      <c r="G991" s="10">
        <v>21730.42</v>
      </c>
      <c r="H991">
        <v>26</v>
      </c>
    </row>
    <row r="992" spans="1:8" x14ac:dyDescent="0.5">
      <c r="A992" s="3">
        <v>160</v>
      </c>
      <c r="B992" s="3">
        <v>54</v>
      </c>
      <c r="C992" s="3" t="str">
        <f t="shared" si="15"/>
        <v>Middle Age</v>
      </c>
      <c r="D992" t="s">
        <v>5</v>
      </c>
      <c r="E992" t="s">
        <v>0</v>
      </c>
      <c r="F992" s="1">
        <v>44977</v>
      </c>
      <c r="G992" s="10">
        <v>86576.82</v>
      </c>
      <c r="H992">
        <v>3</v>
      </c>
    </row>
    <row r="993" spans="1:8" x14ac:dyDescent="0.5">
      <c r="A993" s="3">
        <v>434</v>
      </c>
      <c r="B993" s="3">
        <v>23</v>
      </c>
      <c r="C993" s="3" t="str">
        <f t="shared" si="15"/>
        <v>Young</v>
      </c>
      <c r="D993" t="s">
        <v>3</v>
      </c>
      <c r="E993" t="s">
        <v>2</v>
      </c>
      <c r="F993" s="1">
        <v>45115</v>
      </c>
      <c r="G993" s="10">
        <v>19798.509999999998</v>
      </c>
      <c r="H993">
        <v>10</v>
      </c>
    </row>
    <row r="994" spans="1:8" x14ac:dyDescent="0.5">
      <c r="A994" s="3">
        <v>16</v>
      </c>
      <c r="B994" s="3">
        <v>75</v>
      </c>
      <c r="C994" s="3" t="str">
        <f t="shared" si="15"/>
        <v>Old</v>
      </c>
      <c r="D994" t="s">
        <v>3</v>
      </c>
      <c r="E994" t="s">
        <v>2</v>
      </c>
      <c r="F994" s="1">
        <v>45161</v>
      </c>
      <c r="G994" s="10">
        <v>11360.75</v>
      </c>
      <c r="H994">
        <v>2</v>
      </c>
    </row>
    <row r="995" spans="1:8" x14ac:dyDescent="0.5">
      <c r="A995" s="3">
        <v>174</v>
      </c>
      <c r="B995" s="3">
        <v>39</v>
      </c>
      <c r="C995" s="3" t="str">
        <f t="shared" si="15"/>
        <v>Middle Age</v>
      </c>
      <c r="D995" t="s">
        <v>5</v>
      </c>
      <c r="E995" t="s">
        <v>6</v>
      </c>
      <c r="F995" s="1">
        <v>45306</v>
      </c>
      <c r="G995" s="10">
        <v>60540.84</v>
      </c>
      <c r="H995">
        <v>21</v>
      </c>
    </row>
    <row r="996" spans="1:8" x14ac:dyDescent="0.5">
      <c r="A996" s="3">
        <v>250</v>
      </c>
      <c r="B996" s="3">
        <v>1</v>
      </c>
      <c r="C996" s="3" t="str">
        <f t="shared" si="15"/>
        <v>Young</v>
      </c>
      <c r="D996" t="s">
        <v>3</v>
      </c>
      <c r="E996" t="s">
        <v>0</v>
      </c>
      <c r="F996" s="1">
        <v>45003</v>
      </c>
      <c r="G996" s="10">
        <v>11841.36</v>
      </c>
      <c r="H996">
        <v>2</v>
      </c>
    </row>
    <row r="997" spans="1:8" x14ac:dyDescent="0.5">
      <c r="A997" s="3">
        <v>391</v>
      </c>
      <c r="B997" s="3">
        <v>46</v>
      </c>
      <c r="C997" s="3" t="str">
        <f t="shared" si="15"/>
        <v>Middle Age</v>
      </c>
      <c r="D997" t="s">
        <v>3</v>
      </c>
      <c r="E997" t="s">
        <v>6</v>
      </c>
      <c r="F997" s="1">
        <v>45167</v>
      </c>
      <c r="G997" s="10">
        <v>40581.42</v>
      </c>
      <c r="H997">
        <v>3</v>
      </c>
    </row>
    <row r="998" spans="1:8" x14ac:dyDescent="0.5">
      <c r="A998" s="3">
        <v>85</v>
      </c>
      <c r="B998" s="3">
        <v>75</v>
      </c>
      <c r="C998" s="3" t="str">
        <f t="shared" si="15"/>
        <v>Old</v>
      </c>
      <c r="D998" t="s">
        <v>5</v>
      </c>
      <c r="E998" t="s">
        <v>6</v>
      </c>
      <c r="F998" s="1">
        <v>45126</v>
      </c>
      <c r="G998" s="10">
        <v>2931.82</v>
      </c>
      <c r="H998">
        <v>19</v>
      </c>
    </row>
    <row r="999" spans="1:8" x14ac:dyDescent="0.5">
      <c r="A999" s="3">
        <v>151</v>
      </c>
      <c r="B999" s="3">
        <v>97</v>
      </c>
      <c r="C999" s="3" t="str">
        <f t="shared" si="15"/>
        <v>Old</v>
      </c>
      <c r="D999" t="s">
        <v>3</v>
      </c>
      <c r="E999" t="s">
        <v>4</v>
      </c>
      <c r="F999" s="1">
        <v>45138</v>
      </c>
      <c r="G999" s="10">
        <v>10940.53</v>
      </c>
      <c r="H999">
        <v>0</v>
      </c>
    </row>
    <row r="1000" spans="1:8" x14ac:dyDescent="0.5">
      <c r="A1000" s="3">
        <v>393</v>
      </c>
      <c r="B1000" s="3">
        <v>75</v>
      </c>
      <c r="C1000" s="3" t="str">
        <f t="shared" si="15"/>
        <v>Old</v>
      </c>
      <c r="D1000" t="s">
        <v>3</v>
      </c>
      <c r="E1000" t="s">
        <v>4</v>
      </c>
      <c r="F1000" s="1">
        <v>45090</v>
      </c>
      <c r="G1000" s="10">
        <v>30300.5</v>
      </c>
      <c r="H1000">
        <v>4</v>
      </c>
    </row>
    <row r="1001" spans="1:8" x14ac:dyDescent="0.5">
      <c r="A1001" s="3">
        <v>402</v>
      </c>
      <c r="B1001" s="3">
        <v>23</v>
      </c>
      <c r="C1001" s="3" t="str">
        <f t="shared" si="15"/>
        <v>Young</v>
      </c>
      <c r="D1001" t="s">
        <v>3</v>
      </c>
      <c r="E1001" t="s">
        <v>4</v>
      </c>
      <c r="F1001" s="1">
        <v>45205</v>
      </c>
      <c r="G1001" s="10">
        <v>52496.03</v>
      </c>
      <c r="H1001">
        <v>2</v>
      </c>
    </row>
    <row r="1002" spans="1:8" x14ac:dyDescent="0.5">
      <c r="A1002" s="3">
        <v>32</v>
      </c>
      <c r="B1002" s="3">
        <v>38</v>
      </c>
      <c r="C1002" s="3" t="str">
        <f t="shared" si="15"/>
        <v>Middle Age</v>
      </c>
      <c r="D1002" t="s">
        <v>3</v>
      </c>
      <c r="E1002" t="s">
        <v>4</v>
      </c>
      <c r="F1002" s="1">
        <v>44928</v>
      </c>
      <c r="G1002" s="10">
        <v>69212.009999999995</v>
      </c>
      <c r="H1002">
        <v>20</v>
      </c>
    </row>
    <row r="1003" spans="1:8" x14ac:dyDescent="0.5">
      <c r="A1003" s="3">
        <v>456</v>
      </c>
      <c r="B1003" s="3">
        <v>23</v>
      </c>
      <c r="C1003" s="3" t="str">
        <f t="shared" si="15"/>
        <v>Young</v>
      </c>
      <c r="D1003" t="s">
        <v>3</v>
      </c>
      <c r="E1003" t="s">
        <v>2</v>
      </c>
      <c r="F1003" s="1">
        <v>45291</v>
      </c>
      <c r="G1003" s="10">
        <v>56960.84</v>
      </c>
      <c r="H1003">
        <v>25</v>
      </c>
    </row>
    <row r="1004" spans="1:8" x14ac:dyDescent="0.5">
      <c r="A1004" s="3">
        <v>299</v>
      </c>
      <c r="B1004" s="3">
        <v>75</v>
      </c>
      <c r="C1004" s="3" t="str">
        <f t="shared" si="15"/>
        <v>Old</v>
      </c>
      <c r="D1004" t="s">
        <v>3</v>
      </c>
      <c r="E1004" t="s">
        <v>1</v>
      </c>
      <c r="F1004" s="1">
        <v>45098</v>
      </c>
      <c r="G1004" s="10">
        <v>51360.35</v>
      </c>
      <c r="H1004">
        <v>1</v>
      </c>
    </row>
    <row r="1005" spans="1:8" x14ac:dyDescent="0.5">
      <c r="A1005" s="3">
        <v>330</v>
      </c>
      <c r="B1005" s="3">
        <v>26</v>
      </c>
      <c r="C1005" s="3" t="str">
        <f t="shared" si="15"/>
        <v>Young</v>
      </c>
      <c r="D1005" t="s">
        <v>5</v>
      </c>
      <c r="E1005" t="s">
        <v>2</v>
      </c>
      <c r="F1005" s="1">
        <v>45196</v>
      </c>
      <c r="G1005" s="10">
        <v>76594.600000000006</v>
      </c>
      <c r="H1005">
        <v>3</v>
      </c>
    </row>
    <row r="1006" spans="1:8" x14ac:dyDescent="0.5">
      <c r="A1006" s="3">
        <v>348</v>
      </c>
      <c r="B1006" s="3">
        <v>25</v>
      </c>
      <c r="C1006" s="3" t="str">
        <f t="shared" si="15"/>
        <v>Young</v>
      </c>
      <c r="D1006" t="s">
        <v>3</v>
      </c>
      <c r="E1006" t="s">
        <v>2</v>
      </c>
      <c r="F1006" s="1">
        <v>45151</v>
      </c>
      <c r="G1006" s="10">
        <v>1354.29</v>
      </c>
      <c r="H1006">
        <v>2</v>
      </c>
    </row>
    <row r="1007" spans="1:8" x14ac:dyDescent="0.5">
      <c r="A1007" s="3">
        <v>358</v>
      </c>
      <c r="B1007" s="3">
        <v>33</v>
      </c>
      <c r="C1007" s="3" t="str">
        <f t="shared" si="15"/>
        <v>Middle Age</v>
      </c>
      <c r="D1007" t="s">
        <v>3</v>
      </c>
      <c r="E1007" t="s">
        <v>6</v>
      </c>
      <c r="F1007" s="1">
        <v>45162</v>
      </c>
      <c r="G1007" s="10">
        <v>4825.57</v>
      </c>
      <c r="H1007">
        <v>12</v>
      </c>
    </row>
    <row r="1008" spans="1:8" x14ac:dyDescent="0.5">
      <c r="A1008" s="3">
        <v>416</v>
      </c>
      <c r="B1008" s="3">
        <v>66</v>
      </c>
      <c r="C1008" s="3" t="str">
        <f t="shared" si="15"/>
        <v>Old</v>
      </c>
      <c r="D1008" t="s">
        <v>3</v>
      </c>
      <c r="E1008" t="s">
        <v>0</v>
      </c>
      <c r="F1008" s="1">
        <v>45185</v>
      </c>
      <c r="G1008" s="10">
        <v>47054.62</v>
      </c>
      <c r="H1008">
        <v>3</v>
      </c>
    </row>
    <row r="1009" spans="1:8" x14ac:dyDescent="0.5">
      <c r="A1009" s="3">
        <v>315</v>
      </c>
      <c r="B1009" s="3">
        <v>88</v>
      </c>
      <c r="C1009" s="3" t="str">
        <f t="shared" si="15"/>
        <v>Old</v>
      </c>
      <c r="D1009" t="s">
        <v>5</v>
      </c>
      <c r="E1009" t="s">
        <v>2</v>
      </c>
      <c r="F1009" s="1">
        <v>45146</v>
      </c>
      <c r="G1009" s="10">
        <v>39810.36</v>
      </c>
      <c r="H1009">
        <v>13</v>
      </c>
    </row>
    <row r="1010" spans="1:8" x14ac:dyDescent="0.5">
      <c r="A1010" s="3">
        <v>329</v>
      </c>
      <c r="B1010" s="3">
        <v>50</v>
      </c>
      <c r="C1010" s="3" t="str">
        <f t="shared" si="15"/>
        <v>Middle Age</v>
      </c>
      <c r="D1010" t="s">
        <v>5</v>
      </c>
      <c r="E1010" t="s">
        <v>4</v>
      </c>
      <c r="F1010" s="1">
        <v>45030</v>
      </c>
      <c r="G1010" s="10">
        <v>37864.53</v>
      </c>
      <c r="H1010">
        <v>8</v>
      </c>
    </row>
    <row r="1011" spans="1:8" x14ac:dyDescent="0.5">
      <c r="A1011" s="3">
        <v>423</v>
      </c>
      <c r="B1011" s="3">
        <v>76</v>
      </c>
      <c r="C1011" s="3" t="str">
        <f t="shared" si="15"/>
        <v>Old</v>
      </c>
      <c r="D1011" t="s">
        <v>3</v>
      </c>
      <c r="E1011" t="s">
        <v>4</v>
      </c>
      <c r="F1011" s="1">
        <v>45152</v>
      </c>
      <c r="G1011" s="10">
        <v>23356.39</v>
      </c>
      <c r="H1011">
        <v>21</v>
      </c>
    </row>
    <row r="1012" spans="1:8" x14ac:dyDescent="0.5">
      <c r="A1012" s="3">
        <v>178</v>
      </c>
      <c r="B1012" s="3">
        <v>31</v>
      </c>
      <c r="C1012" s="3" t="str">
        <f t="shared" si="15"/>
        <v>Middle Age</v>
      </c>
      <c r="D1012" t="s">
        <v>5</v>
      </c>
      <c r="E1012" t="s">
        <v>4</v>
      </c>
      <c r="F1012" s="1">
        <v>45293</v>
      </c>
      <c r="G1012" s="10">
        <v>61415.66</v>
      </c>
      <c r="H1012">
        <v>5</v>
      </c>
    </row>
    <row r="1013" spans="1:8" x14ac:dyDescent="0.5">
      <c r="A1013" s="3">
        <v>239</v>
      </c>
      <c r="B1013" s="3">
        <v>101</v>
      </c>
      <c r="C1013" s="3" t="str">
        <f t="shared" si="15"/>
        <v>Old</v>
      </c>
      <c r="D1013" t="s">
        <v>3</v>
      </c>
      <c r="E1013" t="s">
        <v>1</v>
      </c>
      <c r="F1013" s="1">
        <v>45300</v>
      </c>
      <c r="G1013" s="10">
        <v>49851.21</v>
      </c>
      <c r="H1013">
        <v>17</v>
      </c>
    </row>
    <row r="1014" spans="1:8" x14ac:dyDescent="0.5">
      <c r="A1014" s="3">
        <v>385</v>
      </c>
      <c r="B1014" s="3">
        <v>77</v>
      </c>
      <c r="C1014" s="3" t="str">
        <f t="shared" si="15"/>
        <v>Old</v>
      </c>
      <c r="D1014" t="s">
        <v>3</v>
      </c>
      <c r="E1014" t="s">
        <v>6</v>
      </c>
      <c r="F1014" s="1">
        <v>45158</v>
      </c>
      <c r="G1014" s="10">
        <v>31319.52</v>
      </c>
      <c r="H1014">
        <v>8</v>
      </c>
    </row>
    <row r="1015" spans="1:8" x14ac:dyDescent="0.5">
      <c r="A1015" s="3">
        <v>288</v>
      </c>
      <c r="B1015" s="3">
        <v>26</v>
      </c>
      <c r="C1015" s="3" t="str">
        <f t="shared" si="15"/>
        <v>Young</v>
      </c>
      <c r="D1015" t="s">
        <v>3</v>
      </c>
      <c r="E1015" t="s">
        <v>0</v>
      </c>
      <c r="F1015" s="1">
        <v>45017</v>
      </c>
      <c r="G1015" s="10">
        <v>74667.259999999995</v>
      </c>
      <c r="H1015">
        <v>5</v>
      </c>
    </row>
    <row r="1016" spans="1:8" x14ac:dyDescent="0.5">
      <c r="A1016" s="3">
        <v>280</v>
      </c>
      <c r="B1016" s="3">
        <v>77</v>
      </c>
      <c r="C1016" s="3" t="str">
        <f t="shared" si="15"/>
        <v>Old</v>
      </c>
      <c r="D1016" t="s">
        <v>3</v>
      </c>
      <c r="E1016" t="s">
        <v>2</v>
      </c>
      <c r="F1016" s="1">
        <v>45314</v>
      </c>
      <c r="G1016" s="10">
        <v>48333.440000000002</v>
      </c>
      <c r="H1016">
        <v>12</v>
      </c>
    </row>
    <row r="1017" spans="1:8" x14ac:dyDescent="0.5">
      <c r="A1017" s="3">
        <v>97</v>
      </c>
      <c r="B1017" s="3">
        <v>26</v>
      </c>
      <c r="C1017" s="3" t="str">
        <f t="shared" si="15"/>
        <v>Young</v>
      </c>
      <c r="D1017" t="s">
        <v>3</v>
      </c>
      <c r="E1017" t="s">
        <v>0</v>
      </c>
      <c r="F1017" s="1">
        <v>45123</v>
      </c>
      <c r="G1017" s="10">
        <v>63013.7</v>
      </c>
      <c r="H1017">
        <v>5</v>
      </c>
    </row>
    <row r="1018" spans="1:8" x14ac:dyDescent="0.5">
      <c r="A1018" s="3">
        <v>8</v>
      </c>
      <c r="B1018" s="3">
        <v>26</v>
      </c>
      <c r="C1018" s="3" t="str">
        <f t="shared" si="15"/>
        <v>Young</v>
      </c>
      <c r="D1018" t="s">
        <v>3</v>
      </c>
      <c r="E1018" t="s">
        <v>4</v>
      </c>
      <c r="F1018" s="1">
        <v>44993</v>
      </c>
      <c r="G1018" s="10">
        <v>30379.58</v>
      </c>
      <c r="H1018">
        <v>16</v>
      </c>
    </row>
    <row r="1019" spans="1:8" x14ac:dyDescent="0.5">
      <c r="A1019" s="3">
        <v>257</v>
      </c>
      <c r="B1019" s="3">
        <v>58</v>
      </c>
      <c r="C1019" s="3" t="str">
        <f t="shared" si="15"/>
        <v>Old</v>
      </c>
      <c r="D1019" t="s">
        <v>3</v>
      </c>
      <c r="E1019" t="s">
        <v>6</v>
      </c>
      <c r="F1019" s="1">
        <v>45150</v>
      </c>
      <c r="G1019" s="10">
        <v>53879.22</v>
      </c>
      <c r="H1019">
        <v>27</v>
      </c>
    </row>
    <row r="1020" spans="1:8" x14ac:dyDescent="0.5">
      <c r="A1020" s="3">
        <v>316</v>
      </c>
      <c r="B1020" s="3">
        <v>92</v>
      </c>
      <c r="C1020" s="3" t="str">
        <f t="shared" si="15"/>
        <v>Old</v>
      </c>
      <c r="D1020" t="s">
        <v>3</v>
      </c>
      <c r="E1020" t="s">
        <v>6</v>
      </c>
      <c r="F1020" s="1">
        <v>45217</v>
      </c>
      <c r="G1020" s="10">
        <v>41552.980000000003</v>
      </c>
      <c r="H1020">
        <v>8</v>
      </c>
    </row>
    <row r="1021" spans="1:8" x14ac:dyDescent="0.5">
      <c r="A1021" s="3">
        <v>159</v>
      </c>
      <c r="B1021" s="3">
        <v>36</v>
      </c>
      <c r="C1021" s="3" t="str">
        <f t="shared" si="15"/>
        <v>Middle Age</v>
      </c>
      <c r="D1021" t="s">
        <v>5</v>
      </c>
      <c r="E1021" t="s">
        <v>0</v>
      </c>
      <c r="F1021" s="1">
        <v>45001</v>
      </c>
      <c r="G1021" s="10">
        <v>1839.63</v>
      </c>
      <c r="H1021">
        <v>9</v>
      </c>
    </row>
    <row r="1022" spans="1:8" x14ac:dyDescent="0.5">
      <c r="A1022" s="3">
        <v>476</v>
      </c>
      <c r="B1022" s="3">
        <v>26</v>
      </c>
      <c r="C1022" s="3" t="str">
        <f t="shared" si="15"/>
        <v>Young</v>
      </c>
      <c r="D1022" t="s">
        <v>3</v>
      </c>
      <c r="E1022" t="s">
        <v>6</v>
      </c>
      <c r="F1022" s="1">
        <v>45062</v>
      </c>
      <c r="G1022" s="10">
        <v>4880.99</v>
      </c>
      <c r="H1022">
        <v>21</v>
      </c>
    </row>
    <row r="1023" spans="1:8" x14ac:dyDescent="0.5">
      <c r="A1023" s="3">
        <v>484</v>
      </c>
      <c r="B1023" s="3">
        <v>47</v>
      </c>
      <c r="C1023" s="3" t="str">
        <f t="shared" si="15"/>
        <v>Middle Age</v>
      </c>
      <c r="D1023" t="s">
        <v>3</v>
      </c>
      <c r="E1023" t="s">
        <v>6</v>
      </c>
      <c r="F1023" s="1">
        <v>45314</v>
      </c>
      <c r="G1023" s="10">
        <v>11360.87</v>
      </c>
      <c r="H1023">
        <v>16</v>
      </c>
    </row>
    <row r="1024" spans="1:8" x14ac:dyDescent="0.5">
      <c r="A1024" s="3">
        <v>251</v>
      </c>
      <c r="B1024" s="3">
        <v>75</v>
      </c>
      <c r="C1024" s="3" t="str">
        <f t="shared" si="15"/>
        <v>Old</v>
      </c>
      <c r="D1024" t="s">
        <v>3</v>
      </c>
      <c r="E1024" t="s">
        <v>1</v>
      </c>
      <c r="F1024" s="1">
        <v>45185</v>
      </c>
      <c r="G1024" s="10">
        <v>60919.69</v>
      </c>
      <c r="H1024">
        <v>25</v>
      </c>
    </row>
    <row r="1025" spans="1:8" x14ac:dyDescent="0.5">
      <c r="A1025" s="3">
        <v>433</v>
      </c>
      <c r="B1025" s="3">
        <v>100</v>
      </c>
      <c r="C1025" s="3" t="str">
        <f t="shared" si="15"/>
        <v>Old</v>
      </c>
      <c r="D1025" t="s">
        <v>3</v>
      </c>
      <c r="E1025" t="s">
        <v>6</v>
      </c>
      <c r="F1025" s="1">
        <v>45303</v>
      </c>
      <c r="G1025" s="10">
        <v>54234.37</v>
      </c>
      <c r="H1025">
        <v>19</v>
      </c>
    </row>
    <row r="1026" spans="1:8" x14ac:dyDescent="0.5">
      <c r="A1026" s="3">
        <v>405</v>
      </c>
      <c r="B1026" s="3">
        <v>64</v>
      </c>
      <c r="C1026" s="3" t="str">
        <f t="shared" ref="C1026:C1089" si="16">IF(B1026&lt;=30,"Young", IF(B1026&lt;=55,"Middle Age",IF(B1026&gt;55,"Old","Not found")))</f>
        <v>Old</v>
      </c>
      <c r="D1026" t="s">
        <v>5</v>
      </c>
      <c r="E1026" t="s">
        <v>0</v>
      </c>
      <c r="F1026" s="1">
        <v>45140</v>
      </c>
      <c r="G1026" s="10">
        <v>83807.58</v>
      </c>
      <c r="H1026">
        <v>21</v>
      </c>
    </row>
    <row r="1027" spans="1:8" x14ac:dyDescent="0.5">
      <c r="A1027" s="3">
        <v>193</v>
      </c>
      <c r="B1027" s="3">
        <v>26</v>
      </c>
      <c r="C1027" s="3" t="str">
        <f t="shared" si="16"/>
        <v>Young</v>
      </c>
      <c r="D1027" t="s">
        <v>5</v>
      </c>
      <c r="E1027" t="s">
        <v>1</v>
      </c>
      <c r="F1027" s="1">
        <v>44967</v>
      </c>
      <c r="G1027" s="10">
        <v>163.91</v>
      </c>
      <c r="H1027">
        <v>5</v>
      </c>
    </row>
    <row r="1028" spans="1:8" x14ac:dyDescent="0.5">
      <c r="A1028" s="3">
        <v>316</v>
      </c>
      <c r="B1028" s="3">
        <v>58</v>
      </c>
      <c r="C1028" s="3" t="str">
        <f t="shared" si="16"/>
        <v>Old</v>
      </c>
      <c r="D1028" t="s">
        <v>3</v>
      </c>
      <c r="E1028" t="s">
        <v>6</v>
      </c>
      <c r="F1028" s="1">
        <v>45299</v>
      </c>
      <c r="G1028" s="10">
        <v>13449.25</v>
      </c>
      <c r="H1028">
        <v>13</v>
      </c>
    </row>
    <row r="1029" spans="1:8" x14ac:dyDescent="0.5">
      <c r="A1029" s="3">
        <v>233</v>
      </c>
      <c r="B1029" s="3">
        <v>69</v>
      </c>
      <c r="C1029" s="3" t="str">
        <f t="shared" si="16"/>
        <v>Old</v>
      </c>
      <c r="D1029" t="s">
        <v>5</v>
      </c>
      <c r="E1029" t="s">
        <v>1</v>
      </c>
      <c r="F1029" s="1">
        <v>44942</v>
      </c>
      <c r="G1029" s="10">
        <v>16517</v>
      </c>
      <c r="H1029">
        <v>15</v>
      </c>
    </row>
    <row r="1030" spans="1:8" x14ac:dyDescent="0.5">
      <c r="A1030" s="3">
        <v>259</v>
      </c>
      <c r="B1030" s="3">
        <v>23</v>
      </c>
      <c r="C1030" s="3" t="str">
        <f t="shared" si="16"/>
        <v>Young</v>
      </c>
      <c r="D1030" t="s">
        <v>3</v>
      </c>
      <c r="E1030" t="s">
        <v>2</v>
      </c>
      <c r="F1030" s="1">
        <v>45265</v>
      </c>
      <c r="G1030" s="10">
        <v>2101.7800000000002</v>
      </c>
      <c r="H1030">
        <v>12</v>
      </c>
    </row>
    <row r="1031" spans="1:8" x14ac:dyDescent="0.5">
      <c r="A1031" s="3">
        <v>199</v>
      </c>
      <c r="B1031" s="3">
        <v>27</v>
      </c>
      <c r="C1031" s="3" t="str">
        <f t="shared" si="16"/>
        <v>Young</v>
      </c>
      <c r="D1031" t="s">
        <v>3</v>
      </c>
      <c r="E1031" t="s">
        <v>6</v>
      </c>
      <c r="F1031" s="1">
        <v>45126</v>
      </c>
      <c r="G1031" s="10">
        <v>52791.19</v>
      </c>
      <c r="H1031">
        <v>21</v>
      </c>
    </row>
    <row r="1032" spans="1:8" x14ac:dyDescent="0.5">
      <c r="A1032" s="3">
        <v>163</v>
      </c>
      <c r="B1032" s="3">
        <v>64</v>
      </c>
      <c r="C1032" s="3" t="str">
        <f t="shared" si="16"/>
        <v>Old</v>
      </c>
      <c r="D1032" t="s">
        <v>5</v>
      </c>
      <c r="E1032" t="s">
        <v>6</v>
      </c>
      <c r="F1032" s="1">
        <v>44935</v>
      </c>
      <c r="G1032" s="10">
        <v>95637.08</v>
      </c>
      <c r="H1032">
        <v>2</v>
      </c>
    </row>
    <row r="1033" spans="1:8" x14ac:dyDescent="0.5">
      <c r="A1033" s="3">
        <v>369</v>
      </c>
      <c r="B1033" s="3">
        <v>31</v>
      </c>
      <c r="C1033" s="3" t="str">
        <f t="shared" si="16"/>
        <v>Middle Age</v>
      </c>
      <c r="D1033" t="s">
        <v>5</v>
      </c>
      <c r="E1033" t="s">
        <v>1</v>
      </c>
      <c r="F1033" s="1">
        <v>45324</v>
      </c>
      <c r="G1033" s="10">
        <v>65955.77</v>
      </c>
      <c r="H1033">
        <v>18</v>
      </c>
    </row>
    <row r="1034" spans="1:8" x14ac:dyDescent="0.5">
      <c r="A1034" s="3">
        <v>178</v>
      </c>
      <c r="B1034" s="3">
        <v>103</v>
      </c>
      <c r="C1034" s="3" t="str">
        <f t="shared" si="16"/>
        <v>Old</v>
      </c>
      <c r="D1034" t="s">
        <v>3</v>
      </c>
      <c r="E1034" t="s">
        <v>6</v>
      </c>
      <c r="F1034" s="1">
        <v>44929</v>
      </c>
      <c r="G1034" s="10">
        <v>78012.509999999995</v>
      </c>
      <c r="H1034">
        <v>15</v>
      </c>
    </row>
    <row r="1035" spans="1:8" x14ac:dyDescent="0.5">
      <c r="A1035" s="3">
        <v>78</v>
      </c>
      <c r="B1035" s="3">
        <v>87</v>
      </c>
      <c r="C1035" s="3" t="str">
        <f t="shared" si="16"/>
        <v>Old</v>
      </c>
      <c r="D1035" t="s">
        <v>5</v>
      </c>
      <c r="E1035" t="s">
        <v>6</v>
      </c>
      <c r="F1035" s="1">
        <v>45318</v>
      </c>
      <c r="G1035" s="10">
        <v>26678.37</v>
      </c>
      <c r="H1035">
        <v>14</v>
      </c>
    </row>
    <row r="1036" spans="1:8" x14ac:dyDescent="0.5">
      <c r="A1036" s="3">
        <v>366</v>
      </c>
      <c r="B1036" s="3">
        <v>92</v>
      </c>
      <c r="C1036" s="3" t="str">
        <f t="shared" si="16"/>
        <v>Old</v>
      </c>
      <c r="D1036" t="s">
        <v>3</v>
      </c>
      <c r="E1036" t="s">
        <v>0</v>
      </c>
      <c r="F1036" s="1">
        <v>45196</v>
      </c>
      <c r="G1036" s="10">
        <v>24718.6</v>
      </c>
      <c r="H1036">
        <v>4</v>
      </c>
    </row>
    <row r="1037" spans="1:8" x14ac:dyDescent="0.5">
      <c r="A1037" s="3">
        <v>247</v>
      </c>
      <c r="B1037" s="3">
        <v>90</v>
      </c>
      <c r="C1037" s="3" t="str">
        <f t="shared" si="16"/>
        <v>Old</v>
      </c>
      <c r="D1037" t="s">
        <v>3</v>
      </c>
      <c r="E1037" t="s">
        <v>4</v>
      </c>
      <c r="F1037" s="1">
        <v>45141</v>
      </c>
      <c r="G1037" s="10">
        <v>74604.7</v>
      </c>
      <c r="H1037">
        <v>5</v>
      </c>
    </row>
    <row r="1038" spans="1:8" x14ac:dyDescent="0.5">
      <c r="A1038" s="3">
        <v>29</v>
      </c>
      <c r="B1038" s="3">
        <v>78</v>
      </c>
      <c r="C1038" s="3" t="str">
        <f t="shared" si="16"/>
        <v>Old</v>
      </c>
      <c r="D1038" t="s">
        <v>5</v>
      </c>
      <c r="E1038" t="s">
        <v>0</v>
      </c>
      <c r="F1038" s="1">
        <v>44932</v>
      </c>
      <c r="G1038" s="10">
        <v>22938.22</v>
      </c>
      <c r="H1038">
        <v>12</v>
      </c>
    </row>
    <row r="1039" spans="1:8" x14ac:dyDescent="0.5">
      <c r="A1039" s="3">
        <v>389</v>
      </c>
      <c r="B1039" s="3">
        <v>26</v>
      </c>
      <c r="C1039" s="3" t="str">
        <f t="shared" si="16"/>
        <v>Young</v>
      </c>
      <c r="D1039" t="s">
        <v>3</v>
      </c>
      <c r="E1039" t="s">
        <v>4</v>
      </c>
      <c r="F1039" s="1">
        <v>45174</v>
      </c>
      <c r="G1039" s="10">
        <v>68581.119999999995</v>
      </c>
      <c r="H1039">
        <v>16</v>
      </c>
    </row>
    <row r="1040" spans="1:8" x14ac:dyDescent="0.5">
      <c r="A1040" s="3">
        <v>191</v>
      </c>
      <c r="B1040" s="3">
        <v>26</v>
      </c>
      <c r="C1040" s="3" t="str">
        <f t="shared" si="16"/>
        <v>Young</v>
      </c>
      <c r="D1040" t="s">
        <v>3</v>
      </c>
      <c r="E1040" t="s">
        <v>0</v>
      </c>
      <c r="F1040" s="1">
        <v>44972</v>
      </c>
      <c r="G1040" s="10">
        <v>90324.78</v>
      </c>
      <c r="H1040">
        <v>6</v>
      </c>
    </row>
    <row r="1041" spans="1:8" x14ac:dyDescent="0.5">
      <c r="A1041" s="3">
        <v>304</v>
      </c>
      <c r="B1041" s="3">
        <v>78</v>
      </c>
      <c r="C1041" s="3" t="str">
        <f t="shared" si="16"/>
        <v>Old</v>
      </c>
      <c r="D1041" t="s">
        <v>5</v>
      </c>
      <c r="E1041" t="s">
        <v>4</v>
      </c>
      <c r="F1041" s="1">
        <v>45207</v>
      </c>
      <c r="G1041" s="10">
        <v>6511.79</v>
      </c>
      <c r="H1041">
        <v>16</v>
      </c>
    </row>
    <row r="1042" spans="1:8" x14ac:dyDescent="0.5">
      <c r="A1042" s="3">
        <v>146</v>
      </c>
      <c r="B1042" s="3">
        <v>78</v>
      </c>
      <c r="C1042" s="3" t="str">
        <f t="shared" si="16"/>
        <v>Old</v>
      </c>
      <c r="D1042" t="s">
        <v>3</v>
      </c>
      <c r="E1042" t="s">
        <v>2</v>
      </c>
      <c r="F1042" s="1">
        <v>45146</v>
      </c>
      <c r="G1042" s="10">
        <v>89954.34</v>
      </c>
      <c r="H1042">
        <v>22</v>
      </c>
    </row>
    <row r="1043" spans="1:8" x14ac:dyDescent="0.5">
      <c r="A1043" s="3">
        <v>296</v>
      </c>
      <c r="B1043" s="3">
        <v>26</v>
      </c>
      <c r="C1043" s="3" t="str">
        <f t="shared" si="16"/>
        <v>Young</v>
      </c>
      <c r="D1043" t="s">
        <v>3</v>
      </c>
      <c r="E1043" t="s">
        <v>6</v>
      </c>
      <c r="F1043" s="1">
        <v>45146</v>
      </c>
      <c r="G1043" s="10">
        <v>91886.98</v>
      </c>
      <c r="H1043">
        <v>9</v>
      </c>
    </row>
    <row r="1044" spans="1:8" x14ac:dyDescent="0.5">
      <c r="A1044" s="3">
        <v>471</v>
      </c>
      <c r="B1044" s="3">
        <v>36</v>
      </c>
      <c r="C1044" s="3" t="str">
        <f t="shared" si="16"/>
        <v>Middle Age</v>
      </c>
      <c r="D1044" t="s">
        <v>3</v>
      </c>
      <c r="E1044" t="s">
        <v>1</v>
      </c>
      <c r="F1044" s="1">
        <v>45320</v>
      </c>
      <c r="G1044" s="10">
        <v>535.30999999999995</v>
      </c>
      <c r="H1044">
        <v>0</v>
      </c>
    </row>
    <row r="1045" spans="1:8" x14ac:dyDescent="0.5">
      <c r="A1045" s="3">
        <v>339</v>
      </c>
      <c r="B1045" s="3">
        <v>87</v>
      </c>
      <c r="C1045" s="3" t="str">
        <f t="shared" si="16"/>
        <v>Old</v>
      </c>
      <c r="D1045" t="s">
        <v>5</v>
      </c>
      <c r="E1045" t="s">
        <v>4</v>
      </c>
      <c r="F1045" s="1">
        <v>45002</v>
      </c>
      <c r="G1045" s="10">
        <v>2586.12</v>
      </c>
      <c r="H1045">
        <v>17</v>
      </c>
    </row>
    <row r="1046" spans="1:8" x14ac:dyDescent="0.5">
      <c r="A1046" s="3">
        <v>480</v>
      </c>
      <c r="B1046" s="3">
        <v>84</v>
      </c>
      <c r="C1046" s="3" t="str">
        <f t="shared" si="16"/>
        <v>Old</v>
      </c>
      <c r="D1046" t="s">
        <v>5</v>
      </c>
      <c r="E1046" t="s">
        <v>0</v>
      </c>
      <c r="F1046" s="1">
        <v>45000</v>
      </c>
      <c r="G1046" s="10">
        <v>95353.57</v>
      </c>
      <c r="H1046">
        <v>27</v>
      </c>
    </row>
    <row r="1047" spans="1:8" x14ac:dyDescent="0.5">
      <c r="A1047" s="3">
        <v>88</v>
      </c>
      <c r="B1047" s="3">
        <v>62</v>
      </c>
      <c r="C1047" s="3" t="str">
        <f t="shared" si="16"/>
        <v>Old</v>
      </c>
      <c r="D1047" t="s">
        <v>3</v>
      </c>
      <c r="E1047" t="s">
        <v>0</v>
      </c>
      <c r="F1047" s="1">
        <v>44991</v>
      </c>
      <c r="G1047" s="10">
        <v>88119.99</v>
      </c>
      <c r="H1047">
        <v>26</v>
      </c>
    </row>
    <row r="1048" spans="1:8" x14ac:dyDescent="0.5">
      <c r="A1048" s="3">
        <v>15</v>
      </c>
      <c r="B1048" s="3">
        <v>99</v>
      </c>
      <c r="C1048" s="3" t="str">
        <f t="shared" si="16"/>
        <v>Old</v>
      </c>
      <c r="D1048" t="s">
        <v>5</v>
      </c>
      <c r="E1048" t="s">
        <v>0</v>
      </c>
      <c r="F1048" s="1">
        <v>45020</v>
      </c>
      <c r="G1048" s="10">
        <v>87529.9</v>
      </c>
      <c r="H1048">
        <v>16</v>
      </c>
    </row>
    <row r="1049" spans="1:8" x14ac:dyDescent="0.5">
      <c r="A1049" s="3">
        <v>17</v>
      </c>
      <c r="B1049" s="3">
        <v>80</v>
      </c>
      <c r="C1049" s="3" t="str">
        <f t="shared" si="16"/>
        <v>Old</v>
      </c>
      <c r="D1049" t="s">
        <v>5</v>
      </c>
      <c r="E1049" t="s">
        <v>1</v>
      </c>
      <c r="F1049" s="1">
        <v>45179</v>
      </c>
      <c r="G1049" s="10">
        <v>65555.25</v>
      </c>
      <c r="H1049">
        <v>20</v>
      </c>
    </row>
    <row r="1050" spans="1:8" x14ac:dyDescent="0.5">
      <c r="A1050" s="3">
        <v>146</v>
      </c>
      <c r="B1050" s="3">
        <v>1</v>
      </c>
      <c r="C1050" s="3" t="str">
        <f t="shared" si="16"/>
        <v>Young</v>
      </c>
      <c r="D1050" t="s">
        <v>3</v>
      </c>
      <c r="E1050" t="s">
        <v>6</v>
      </c>
      <c r="F1050" s="1">
        <v>45106</v>
      </c>
      <c r="G1050" s="10">
        <v>8080.22</v>
      </c>
      <c r="H1050">
        <v>24</v>
      </c>
    </row>
    <row r="1051" spans="1:8" x14ac:dyDescent="0.5">
      <c r="A1051" s="3">
        <v>318</v>
      </c>
      <c r="B1051" s="3">
        <v>78</v>
      </c>
      <c r="C1051" s="3" t="str">
        <f t="shared" si="16"/>
        <v>Old</v>
      </c>
      <c r="D1051" t="s">
        <v>3</v>
      </c>
      <c r="E1051" t="s">
        <v>0</v>
      </c>
      <c r="F1051" s="1">
        <v>45056</v>
      </c>
      <c r="G1051" s="10">
        <v>69889.02</v>
      </c>
      <c r="H1051">
        <v>27</v>
      </c>
    </row>
    <row r="1052" spans="1:8" x14ac:dyDescent="0.5">
      <c r="A1052" s="3">
        <v>328</v>
      </c>
      <c r="B1052" s="3">
        <v>52</v>
      </c>
      <c r="C1052" s="3" t="str">
        <f t="shared" si="16"/>
        <v>Middle Age</v>
      </c>
      <c r="D1052" t="s">
        <v>3</v>
      </c>
      <c r="E1052" t="s">
        <v>0</v>
      </c>
      <c r="F1052" s="1">
        <v>44983</v>
      </c>
      <c r="G1052" s="10">
        <v>59226.45</v>
      </c>
      <c r="H1052">
        <v>7</v>
      </c>
    </row>
    <row r="1053" spans="1:8" x14ac:dyDescent="0.5">
      <c r="A1053" s="3">
        <v>243</v>
      </c>
      <c r="B1053" s="3">
        <v>26</v>
      </c>
      <c r="C1053" s="3" t="str">
        <f t="shared" si="16"/>
        <v>Young</v>
      </c>
      <c r="D1053" t="s">
        <v>3</v>
      </c>
      <c r="E1053" t="s">
        <v>0</v>
      </c>
      <c r="F1053" s="1">
        <v>45064</v>
      </c>
      <c r="G1053" s="10">
        <v>44809.88</v>
      </c>
      <c r="H1053">
        <v>20</v>
      </c>
    </row>
    <row r="1054" spans="1:8" x14ac:dyDescent="0.5">
      <c r="A1054" s="3">
        <v>36</v>
      </c>
      <c r="B1054" s="3">
        <v>26</v>
      </c>
      <c r="C1054" s="3" t="str">
        <f t="shared" si="16"/>
        <v>Young</v>
      </c>
      <c r="D1054" t="s">
        <v>5</v>
      </c>
      <c r="E1054" t="s">
        <v>6</v>
      </c>
      <c r="F1054" s="1">
        <v>45274</v>
      </c>
      <c r="G1054" s="10">
        <v>72483.98</v>
      </c>
      <c r="H1054">
        <v>27</v>
      </c>
    </row>
    <row r="1055" spans="1:8" x14ac:dyDescent="0.5">
      <c r="A1055" s="3">
        <v>369</v>
      </c>
      <c r="B1055" s="3">
        <v>75</v>
      </c>
      <c r="C1055" s="3" t="str">
        <f t="shared" si="16"/>
        <v>Old</v>
      </c>
      <c r="D1055" t="s">
        <v>3</v>
      </c>
      <c r="E1055" t="s">
        <v>4</v>
      </c>
      <c r="F1055" s="1">
        <v>45227</v>
      </c>
      <c r="G1055" s="10">
        <v>52530.04</v>
      </c>
      <c r="H1055">
        <v>22</v>
      </c>
    </row>
    <row r="1056" spans="1:8" x14ac:dyDescent="0.5">
      <c r="A1056" s="3">
        <v>449</v>
      </c>
      <c r="B1056" s="3">
        <v>86</v>
      </c>
      <c r="C1056" s="3" t="str">
        <f t="shared" si="16"/>
        <v>Old</v>
      </c>
      <c r="D1056" t="s">
        <v>3</v>
      </c>
      <c r="E1056" t="s">
        <v>6</v>
      </c>
      <c r="F1056" s="1">
        <v>45249</v>
      </c>
      <c r="G1056" s="10">
        <v>54578.45</v>
      </c>
      <c r="H1056">
        <v>16</v>
      </c>
    </row>
    <row r="1057" spans="1:8" x14ac:dyDescent="0.5">
      <c r="A1057" s="3">
        <v>350</v>
      </c>
      <c r="B1057" s="3">
        <v>95</v>
      </c>
      <c r="C1057" s="3" t="str">
        <f t="shared" si="16"/>
        <v>Old</v>
      </c>
      <c r="D1057" t="s">
        <v>5</v>
      </c>
      <c r="E1057" t="s">
        <v>0</v>
      </c>
      <c r="F1057" s="1">
        <v>45056</v>
      </c>
      <c r="G1057" s="10">
        <v>79639.03</v>
      </c>
      <c r="H1057">
        <v>23</v>
      </c>
    </row>
    <row r="1058" spans="1:8" x14ac:dyDescent="0.5">
      <c r="A1058" s="3">
        <v>159</v>
      </c>
      <c r="B1058" s="3">
        <v>76</v>
      </c>
      <c r="C1058" s="3" t="str">
        <f t="shared" si="16"/>
        <v>Old</v>
      </c>
      <c r="D1058" t="s">
        <v>3</v>
      </c>
      <c r="E1058" t="s">
        <v>6</v>
      </c>
      <c r="F1058" s="1">
        <v>45139</v>
      </c>
      <c r="G1058" s="10">
        <v>20400.55</v>
      </c>
      <c r="H1058">
        <v>21</v>
      </c>
    </row>
    <row r="1059" spans="1:8" x14ac:dyDescent="0.5">
      <c r="A1059" s="3">
        <v>74</v>
      </c>
      <c r="B1059" s="3">
        <v>78</v>
      </c>
      <c r="C1059" s="3" t="str">
        <f t="shared" si="16"/>
        <v>Old</v>
      </c>
      <c r="D1059" t="s">
        <v>3</v>
      </c>
      <c r="E1059" t="s">
        <v>0</v>
      </c>
      <c r="F1059" s="1">
        <v>45172</v>
      </c>
      <c r="G1059" s="10">
        <v>82398.91</v>
      </c>
      <c r="H1059">
        <v>8</v>
      </c>
    </row>
    <row r="1060" spans="1:8" x14ac:dyDescent="0.5">
      <c r="A1060" s="3">
        <v>186</v>
      </c>
      <c r="B1060" s="3">
        <v>1</v>
      </c>
      <c r="C1060" s="3" t="str">
        <f t="shared" si="16"/>
        <v>Young</v>
      </c>
      <c r="D1060" t="s">
        <v>5</v>
      </c>
      <c r="E1060" t="s">
        <v>1</v>
      </c>
      <c r="F1060" s="1">
        <v>45279</v>
      </c>
      <c r="G1060" s="10">
        <v>53927.839999999997</v>
      </c>
      <c r="H1060">
        <v>4</v>
      </c>
    </row>
    <row r="1061" spans="1:8" x14ac:dyDescent="0.5">
      <c r="A1061" s="3">
        <v>46</v>
      </c>
      <c r="B1061" s="3">
        <v>78</v>
      </c>
      <c r="C1061" s="3" t="str">
        <f t="shared" si="16"/>
        <v>Old</v>
      </c>
      <c r="D1061" t="s">
        <v>3</v>
      </c>
      <c r="E1061" t="s">
        <v>1</v>
      </c>
      <c r="F1061" s="1">
        <v>45179</v>
      </c>
      <c r="G1061" s="10">
        <v>4276.66</v>
      </c>
      <c r="H1061">
        <v>17</v>
      </c>
    </row>
    <row r="1062" spans="1:8" x14ac:dyDescent="0.5">
      <c r="A1062" s="3">
        <v>441</v>
      </c>
      <c r="B1062" s="3">
        <v>26</v>
      </c>
      <c r="C1062" s="3" t="str">
        <f t="shared" si="16"/>
        <v>Young</v>
      </c>
      <c r="D1062" t="s">
        <v>3</v>
      </c>
      <c r="E1062" t="s">
        <v>6</v>
      </c>
      <c r="F1062" s="1">
        <v>45099</v>
      </c>
      <c r="G1062" s="10">
        <v>42642.38</v>
      </c>
      <c r="H1062">
        <v>25</v>
      </c>
    </row>
    <row r="1063" spans="1:8" x14ac:dyDescent="0.5">
      <c r="A1063" s="3">
        <v>369</v>
      </c>
      <c r="B1063" s="3">
        <v>26</v>
      </c>
      <c r="C1063" s="3" t="str">
        <f t="shared" si="16"/>
        <v>Young</v>
      </c>
      <c r="D1063" t="s">
        <v>3</v>
      </c>
      <c r="E1063" t="s">
        <v>6</v>
      </c>
      <c r="F1063" s="1">
        <v>45022</v>
      </c>
      <c r="G1063" s="10">
        <v>48657.11</v>
      </c>
      <c r="H1063">
        <v>13</v>
      </c>
    </row>
    <row r="1064" spans="1:8" x14ac:dyDescent="0.5">
      <c r="A1064" s="3">
        <v>130</v>
      </c>
      <c r="B1064" s="3">
        <v>70</v>
      </c>
      <c r="C1064" s="3" t="str">
        <f t="shared" si="16"/>
        <v>Old</v>
      </c>
      <c r="D1064" t="s">
        <v>3</v>
      </c>
      <c r="E1064" t="s">
        <v>2</v>
      </c>
      <c r="F1064" s="1">
        <v>45039</v>
      </c>
      <c r="G1064" s="10">
        <v>70535.360000000001</v>
      </c>
      <c r="H1064">
        <v>19</v>
      </c>
    </row>
    <row r="1065" spans="1:8" x14ac:dyDescent="0.5">
      <c r="A1065" s="3">
        <v>405</v>
      </c>
      <c r="B1065" s="3">
        <v>26</v>
      </c>
      <c r="C1065" s="3" t="str">
        <f t="shared" si="16"/>
        <v>Young</v>
      </c>
      <c r="D1065" t="s">
        <v>3</v>
      </c>
      <c r="E1065" t="s">
        <v>1</v>
      </c>
      <c r="F1065" s="1">
        <v>45305</v>
      </c>
      <c r="G1065" s="10">
        <v>31402.78</v>
      </c>
      <c r="H1065">
        <v>22</v>
      </c>
    </row>
    <row r="1066" spans="1:8" x14ac:dyDescent="0.5">
      <c r="A1066" s="3">
        <v>17</v>
      </c>
      <c r="B1066" s="3">
        <v>28</v>
      </c>
      <c r="C1066" s="3" t="str">
        <f t="shared" si="16"/>
        <v>Young</v>
      </c>
      <c r="D1066" t="s">
        <v>3</v>
      </c>
      <c r="E1066" t="s">
        <v>6</v>
      </c>
      <c r="F1066" s="1">
        <v>45287</v>
      </c>
      <c r="G1066" s="10">
        <v>55698.94</v>
      </c>
      <c r="H1066">
        <v>24</v>
      </c>
    </row>
    <row r="1067" spans="1:8" x14ac:dyDescent="0.5">
      <c r="A1067" s="3">
        <v>144</v>
      </c>
      <c r="B1067" s="3">
        <v>26</v>
      </c>
      <c r="C1067" s="3" t="str">
        <f t="shared" si="16"/>
        <v>Young</v>
      </c>
      <c r="D1067" t="s">
        <v>5</v>
      </c>
      <c r="E1067" t="s">
        <v>4</v>
      </c>
      <c r="F1067" s="1">
        <v>45153</v>
      </c>
      <c r="G1067" s="10">
        <v>16684.150000000001</v>
      </c>
      <c r="H1067">
        <v>1</v>
      </c>
    </row>
    <row r="1068" spans="1:8" x14ac:dyDescent="0.5">
      <c r="A1068" s="3">
        <v>107</v>
      </c>
      <c r="B1068" s="3">
        <v>94</v>
      </c>
      <c r="C1068" s="3" t="str">
        <f t="shared" si="16"/>
        <v>Old</v>
      </c>
      <c r="D1068" t="s">
        <v>5</v>
      </c>
      <c r="E1068" t="s">
        <v>1</v>
      </c>
      <c r="F1068" s="1">
        <v>45089</v>
      </c>
      <c r="G1068" s="10">
        <v>80607.149999999994</v>
      </c>
      <c r="H1068">
        <v>16</v>
      </c>
    </row>
    <row r="1069" spans="1:8" x14ac:dyDescent="0.5">
      <c r="A1069" s="3">
        <v>219</v>
      </c>
      <c r="B1069" s="3">
        <v>74</v>
      </c>
      <c r="C1069" s="3" t="str">
        <f t="shared" si="16"/>
        <v>Old</v>
      </c>
      <c r="D1069" t="s">
        <v>5</v>
      </c>
      <c r="E1069" t="s">
        <v>6</v>
      </c>
      <c r="F1069" s="1">
        <v>45227</v>
      </c>
      <c r="G1069" s="10">
        <v>24811.18</v>
      </c>
      <c r="H1069">
        <v>3</v>
      </c>
    </row>
    <row r="1070" spans="1:8" x14ac:dyDescent="0.5">
      <c r="A1070" s="3">
        <v>122</v>
      </c>
      <c r="B1070" s="3">
        <v>24</v>
      </c>
      <c r="C1070" s="3" t="str">
        <f t="shared" si="16"/>
        <v>Young</v>
      </c>
      <c r="D1070" t="s">
        <v>3</v>
      </c>
      <c r="E1070" t="s">
        <v>6</v>
      </c>
      <c r="F1070" s="1">
        <v>44973</v>
      </c>
      <c r="G1070" s="10">
        <v>23081.42</v>
      </c>
      <c r="H1070">
        <v>0</v>
      </c>
    </row>
    <row r="1071" spans="1:8" x14ac:dyDescent="0.5">
      <c r="A1071" s="3">
        <v>36</v>
      </c>
      <c r="B1071" s="3">
        <v>53</v>
      </c>
      <c r="C1071" s="3" t="str">
        <f t="shared" si="16"/>
        <v>Middle Age</v>
      </c>
      <c r="D1071" t="s">
        <v>3</v>
      </c>
      <c r="E1071" t="s">
        <v>4</v>
      </c>
      <c r="F1071" s="1">
        <v>45286</v>
      </c>
      <c r="G1071" s="10">
        <v>27238.84</v>
      </c>
      <c r="H1071">
        <v>1</v>
      </c>
    </row>
    <row r="1072" spans="1:8" x14ac:dyDescent="0.5">
      <c r="A1072" s="3">
        <v>451</v>
      </c>
      <c r="B1072" s="3">
        <v>62</v>
      </c>
      <c r="C1072" s="3" t="str">
        <f t="shared" si="16"/>
        <v>Old</v>
      </c>
      <c r="D1072" t="s">
        <v>3</v>
      </c>
      <c r="E1072" t="s">
        <v>4</v>
      </c>
      <c r="F1072" s="1">
        <v>45067</v>
      </c>
      <c r="G1072" s="10">
        <v>78763.91</v>
      </c>
      <c r="H1072">
        <v>16</v>
      </c>
    </row>
    <row r="1073" spans="1:8" x14ac:dyDescent="0.5">
      <c r="A1073" s="3">
        <v>20</v>
      </c>
      <c r="B1073" s="3">
        <v>41</v>
      </c>
      <c r="C1073" s="3" t="str">
        <f t="shared" si="16"/>
        <v>Middle Age</v>
      </c>
      <c r="D1073" t="s">
        <v>3</v>
      </c>
      <c r="E1073" t="s">
        <v>4</v>
      </c>
      <c r="F1073" s="1">
        <v>45223</v>
      </c>
      <c r="G1073" s="10">
        <v>88416.09</v>
      </c>
      <c r="H1073">
        <v>7</v>
      </c>
    </row>
    <row r="1074" spans="1:8" x14ac:dyDescent="0.5">
      <c r="A1074" s="3">
        <v>70</v>
      </c>
      <c r="B1074" s="3">
        <v>40</v>
      </c>
      <c r="C1074" s="3" t="str">
        <f t="shared" si="16"/>
        <v>Middle Age</v>
      </c>
      <c r="D1074" t="s">
        <v>5</v>
      </c>
      <c r="E1074" t="s">
        <v>2</v>
      </c>
      <c r="F1074" s="1">
        <v>45276</v>
      </c>
      <c r="G1074" s="10">
        <v>20568.61</v>
      </c>
      <c r="H1074">
        <v>7</v>
      </c>
    </row>
    <row r="1075" spans="1:8" x14ac:dyDescent="0.5">
      <c r="A1075" s="3">
        <v>334</v>
      </c>
      <c r="B1075" s="3">
        <v>43</v>
      </c>
      <c r="C1075" s="3" t="str">
        <f t="shared" si="16"/>
        <v>Middle Age</v>
      </c>
      <c r="D1075" t="s">
        <v>5</v>
      </c>
      <c r="E1075" t="s">
        <v>6</v>
      </c>
      <c r="F1075" s="1">
        <v>44935</v>
      </c>
      <c r="G1075" s="10">
        <v>23089.02</v>
      </c>
      <c r="H1075">
        <v>22</v>
      </c>
    </row>
    <row r="1076" spans="1:8" x14ac:dyDescent="0.5">
      <c r="A1076" s="3">
        <v>67</v>
      </c>
      <c r="B1076" s="3">
        <v>24</v>
      </c>
      <c r="C1076" s="3" t="str">
        <f t="shared" si="16"/>
        <v>Young</v>
      </c>
      <c r="D1076" t="s">
        <v>3</v>
      </c>
      <c r="E1076" t="s">
        <v>2</v>
      </c>
      <c r="F1076" s="1">
        <v>45253</v>
      </c>
      <c r="G1076" s="10">
        <v>67872.59</v>
      </c>
      <c r="H1076">
        <v>16</v>
      </c>
    </row>
    <row r="1077" spans="1:8" x14ac:dyDescent="0.5">
      <c r="A1077" s="3">
        <v>481</v>
      </c>
      <c r="B1077" s="3">
        <v>41</v>
      </c>
      <c r="C1077" s="3" t="str">
        <f t="shared" si="16"/>
        <v>Middle Age</v>
      </c>
      <c r="D1077" t="s">
        <v>5</v>
      </c>
      <c r="E1077" t="s">
        <v>0</v>
      </c>
      <c r="F1077" s="1">
        <v>45287</v>
      </c>
      <c r="G1077" s="10">
        <v>10393.959999999999</v>
      </c>
      <c r="H1077">
        <v>0</v>
      </c>
    </row>
    <row r="1078" spans="1:8" x14ac:dyDescent="0.5">
      <c r="A1078" s="3">
        <v>233</v>
      </c>
      <c r="B1078" s="3">
        <v>51</v>
      </c>
      <c r="C1078" s="3" t="str">
        <f t="shared" si="16"/>
        <v>Middle Age</v>
      </c>
      <c r="D1078" t="s">
        <v>3</v>
      </c>
      <c r="E1078" t="s">
        <v>1</v>
      </c>
      <c r="F1078" s="1">
        <v>45035</v>
      </c>
      <c r="G1078" s="10">
        <v>92084</v>
      </c>
      <c r="H1078">
        <v>24</v>
      </c>
    </row>
    <row r="1079" spans="1:8" x14ac:dyDescent="0.5">
      <c r="A1079" s="3">
        <v>295</v>
      </c>
      <c r="B1079" s="3">
        <v>26</v>
      </c>
      <c r="C1079" s="3" t="str">
        <f t="shared" si="16"/>
        <v>Young</v>
      </c>
      <c r="D1079" t="s">
        <v>3</v>
      </c>
      <c r="E1079" t="s">
        <v>4</v>
      </c>
      <c r="F1079" s="1">
        <v>45302</v>
      </c>
      <c r="G1079" s="10">
        <v>98200.51</v>
      </c>
      <c r="H1079">
        <v>3</v>
      </c>
    </row>
    <row r="1080" spans="1:8" x14ac:dyDescent="0.5">
      <c r="A1080" s="3">
        <v>32</v>
      </c>
      <c r="B1080" s="3">
        <v>68</v>
      </c>
      <c r="C1080" s="3" t="str">
        <f t="shared" si="16"/>
        <v>Old</v>
      </c>
      <c r="D1080" t="s">
        <v>5</v>
      </c>
      <c r="E1080" t="s">
        <v>6</v>
      </c>
      <c r="F1080" s="1">
        <v>44943</v>
      </c>
      <c r="G1080" s="10">
        <v>85388.800000000003</v>
      </c>
      <c r="H1080">
        <v>6</v>
      </c>
    </row>
    <row r="1081" spans="1:8" x14ac:dyDescent="0.5">
      <c r="A1081" s="3">
        <v>12</v>
      </c>
      <c r="B1081" s="3">
        <v>36</v>
      </c>
      <c r="C1081" s="3" t="str">
        <f t="shared" si="16"/>
        <v>Middle Age</v>
      </c>
      <c r="D1081" t="s">
        <v>3</v>
      </c>
      <c r="E1081" t="s">
        <v>0</v>
      </c>
      <c r="F1081" s="1">
        <v>45043</v>
      </c>
      <c r="G1081" s="10">
        <v>68799.41</v>
      </c>
      <c r="H1081">
        <v>11</v>
      </c>
    </row>
    <row r="1082" spans="1:8" x14ac:dyDescent="0.5">
      <c r="A1082" s="3">
        <v>215</v>
      </c>
      <c r="B1082" s="3">
        <v>51</v>
      </c>
      <c r="C1082" s="3" t="str">
        <f t="shared" si="16"/>
        <v>Middle Age</v>
      </c>
      <c r="D1082" t="s">
        <v>5</v>
      </c>
      <c r="E1082" t="s">
        <v>2</v>
      </c>
      <c r="F1082" s="1">
        <v>44935</v>
      </c>
      <c r="G1082" s="10">
        <v>18.77</v>
      </c>
      <c r="H1082">
        <v>22</v>
      </c>
    </row>
    <row r="1083" spans="1:8" x14ac:dyDescent="0.5">
      <c r="A1083" s="3">
        <v>320</v>
      </c>
      <c r="B1083" s="3">
        <v>80</v>
      </c>
      <c r="C1083" s="3" t="str">
        <f t="shared" si="16"/>
        <v>Old</v>
      </c>
      <c r="D1083" t="s">
        <v>3</v>
      </c>
      <c r="E1083" t="s">
        <v>6</v>
      </c>
      <c r="F1083" s="1">
        <v>45138</v>
      </c>
      <c r="G1083" s="10">
        <v>7610.45</v>
      </c>
      <c r="H1083">
        <v>8</v>
      </c>
    </row>
    <row r="1084" spans="1:8" x14ac:dyDescent="0.5">
      <c r="A1084" s="3">
        <v>449</v>
      </c>
      <c r="B1084" s="3">
        <v>54</v>
      </c>
      <c r="C1084" s="3" t="str">
        <f t="shared" si="16"/>
        <v>Middle Age</v>
      </c>
      <c r="D1084" t="s">
        <v>5</v>
      </c>
      <c r="E1084" t="s">
        <v>4</v>
      </c>
      <c r="F1084" s="1">
        <v>45003</v>
      </c>
      <c r="G1084" s="10">
        <v>8356.15</v>
      </c>
      <c r="H1084">
        <v>29</v>
      </c>
    </row>
    <row r="1085" spans="1:8" x14ac:dyDescent="0.5">
      <c r="A1085" s="3">
        <v>22</v>
      </c>
      <c r="B1085" s="3">
        <v>97</v>
      </c>
      <c r="C1085" s="3" t="str">
        <f t="shared" si="16"/>
        <v>Old</v>
      </c>
      <c r="D1085" t="s">
        <v>3</v>
      </c>
      <c r="E1085" t="s">
        <v>1</v>
      </c>
      <c r="F1085" s="1">
        <v>45325</v>
      </c>
      <c r="G1085" s="10">
        <v>44863.56</v>
      </c>
      <c r="H1085">
        <v>13</v>
      </c>
    </row>
    <row r="1086" spans="1:8" x14ac:dyDescent="0.5">
      <c r="A1086" s="3">
        <v>256</v>
      </c>
      <c r="B1086" s="3">
        <v>26</v>
      </c>
      <c r="C1086" s="3" t="str">
        <f t="shared" si="16"/>
        <v>Young</v>
      </c>
      <c r="D1086" t="s">
        <v>3</v>
      </c>
      <c r="E1086" t="s">
        <v>0</v>
      </c>
      <c r="F1086" s="1">
        <v>45309</v>
      </c>
      <c r="G1086" s="10">
        <v>57296.91</v>
      </c>
      <c r="H1086">
        <v>4</v>
      </c>
    </row>
    <row r="1087" spans="1:8" x14ac:dyDescent="0.5">
      <c r="A1087" s="3">
        <v>44</v>
      </c>
      <c r="B1087" s="3">
        <v>49</v>
      </c>
      <c r="C1087" s="3" t="str">
        <f t="shared" si="16"/>
        <v>Middle Age</v>
      </c>
      <c r="D1087" t="s">
        <v>3</v>
      </c>
      <c r="E1087" t="s">
        <v>1</v>
      </c>
      <c r="F1087" s="1">
        <v>45220</v>
      </c>
      <c r="G1087" s="10">
        <v>51638.38</v>
      </c>
      <c r="H1087">
        <v>12</v>
      </c>
    </row>
    <row r="1088" spans="1:8" x14ac:dyDescent="0.5">
      <c r="A1088" s="3">
        <v>2</v>
      </c>
      <c r="B1088" s="3">
        <v>78</v>
      </c>
      <c r="C1088" s="3" t="str">
        <f t="shared" si="16"/>
        <v>Old</v>
      </c>
      <c r="D1088" t="s">
        <v>3</v>
      </c>
      <c r="E1088" t="s">
        <v>1</v>
      </c>
      <c r="F1088" s="1">
        <v>45020</v>
      </c>
      <c r="G1088" s="10">
        <v>38517.760000000002</v>
      </c>
      <c r="H1088">
        <v>27</v>
      </c>
    </row>
    <row r="1089" spans="1:8" x14ac:dyDescent="0.5">
      <c r="A1089" s="3">
        <v>143</v>
      </c>
      <c r="B1089" s="3">
        <v>70</v>
      </c>
      <c r="C1089" s="3" t="str">
        <f t="shared" si="16"/>
        <v>Old</v>
      </c>
      <c r="D1089" t="s">
        <v>3</v>
      </c>
      <c r="E1089" t="s">
        <v>1</v>
      </c>
      <c r="F1089" s="1">
        <v>44962</v>
      </c>
      <c r="G1089" s="10">
        <v>67044.36</v>
      </c>
      <c r="H1089">
        <v>6</v>
      </c>
    </row>
    <row r="1090" spans="1:8" x14ac:dyDescent="0.5">
      <c r="A1090" s="3">
        <v>440</v>
      </c>
      <c r="B1090" s="3">
        <v>26</v>
      </c>
      <c r="C1090" s="3" t="str">
        <f t="shared" ref="C1090:C1153" si="17">IF(B1090&lt;=30,"Young", IF(B1090&lt;=55,"Middle Age",IF(B1090&gt;55,"Old","Not found")))</f>
        <v>Young</v>
      </c>
      <c r="D1090" t="s">
        <v>3</v>
      </c>
      <c r="E1090" t="s">
        <v>2</v>
      </c>
      <c r="F1090" s="1">
        <v>45320</v>
      </c>
      <c r="G1090" s="10">
        <v>92550.77</v>
      </c>
      <c r="H1090">
        <v>21</v>
      </c>
    </row>
    <row r="1091" spans="1:8" x14ac:dyDescent="0.5">
      <c r="A1091" s="3">
        <v>164</v>
      </c>
      <c r="B1091" s="3">
        <v>78</v>
      </c>
      <c r="C1091" s="3" t="str">
        <f t="shared" si="17"/>
        <v>Old</v>
      </c>
      <c r="D1091" t="s">
        <v>3</v>
      </c>
      <c r="E1091" t="s">
        <v>0</v>
      </c>
      <c r="F1091" s="1">
        <v>45206</v>
      </c>
      <c r="G1091" s="10">
        <v>14001.36</v>
      </c>
      <c r="H1091">
        <v>29</v>
      </c>
    </row>
    <row r="1092" spans="1:8" x14ac:dyDescent="0.5">
      <c r="A1092" s="3">
        <v>139</v>
      </c>
      <c r="B1092" s="3">
        <v>78</v>
      </c>
      <c r="C1092" s="3" t="str">
        <f t="shared" si="17"/>
        <v>Old</v>
      </c>
      <c r="D1092" t="s">
        <v>3</v>
      </c>
      <c r="E1092" t="s">
        <v>2</v>
      </c>
      <c r="F1092" s="1">
        <v>44995</v>
      </c>
      <c r="G1092" s="10">
        <v>10205.56</v>
      </c>
      <c r="H1092">
        <v>20</v>
      </c>
    </row>
    <row r="1093" spans="1:8" x14ac:dyDescent="0.5">
      <c r="A1093" s="3">
        <v>123</v>
      </c>
      <c r="B1093" s="3">
        <v>26</v>
      </c>
      <c r="C1093" s="3" t="str">
        <f t="shared" si="17"/>
        <v>Young</v>
      </c>
      <c r="D1093" t="s">
        <v>5</v>
      </c>
      <c r="E1093" t="s">
        <v>4</v>
      </c>
      <c r="F1093" s="1">
        <v>45105</v>
      </c>
      <c r="G1093" s="10">
        <v>32174.62</v>
      </c>
      <c r="H1093">
        <v>29</v>
      </c>
    </row>
    <row r="1094" spans="1:8" x14ac:dyDescent="0.5">
      <c r="A1094" s="3">
        <v>178</v>
      </c>
      <c r="B1094" s="3">
        <v>1</v>
      </c>
      <c r="C1094" s="3" t="str">
        <f t="shared" si="17"/>
        <v>Young</v>
      </c>
      <c r="D1094" t="s">
        <v>3</v>
      </c>
      <c r="E1094" t="s">
        <v>4</v>
      </c>
      <c r="F1094" s="1">
        <v>45197</v>
      </c>
      <c r="G1094" s="10">
        <v>9959.5</v>
      </c>
      <c r="H1094">
        <v>15</v>
      </c>
    </row>
    <row r="1095" spans="1:8" x14ac:dyDescent="0.5">
      <c r="A1095" s="3">
        <v>7</v>
      </c>
      <c r="B1095" s="3">
        <v>72</v>
      </c>
      <c r="C1095" s="3" t="str">
        <f t="shared" si="17"/>
        <v>Old</v>
      </c>
      <c r="D1095" t="s">
        <v>5</v>
      </c>
      <c r="E1095" t="s">
        <v>6</v>
      </c>
      <c r="F1095" s="1">
        <v>45275</v>
      </c>
      <c r="G1095" s="10">
        <v>15867.36</v>
      </c>
      <c r="H1095">
        <v>0</v>
      </c>
    </row>
    <row r="1096" spans="1:8" x14ac:dyDescent="0.5">
      <c r="A1096" s="3">
        <v>175</v>
      </c>
      <c r="B1096" s="3">
        <v>41</v>
      </c>
      <c r="C1096" s="3" t="str">
        <f t="shared" si="17"/>
        <v>Middle Age</v>
      </c>
      <c r="D1096" t="s">
        <v>5</v>
      </c>
      <c r="E1096" t="s">
        <v>0</v>
      </c>
      <c r="F1096" s="1">
        <v>45086</v>
      </c>
      <c r="G1096" s="10">
        <v>83879.08</v>
      </c>
      <c r="H1096">
        <v>21</v>
      </c>
    </row>
    <row r="1097" spans="1:8" x14ac:dyDescent="0.5">
      <c r="A1097" s="3">
        <v>314</v>
      </c>
      <c r="B1097" s="3">
        <v>47</v>
      </c>
      <c r="C1097" s="3" t="str">
        <f t="shared" si="17"/>
        <v>Middle Age</v>
      </c>
      <c r="D1097" t="s">
        <v>3</v>
      </c>
      <c r="E1097" t="s">
        <v>2</v>
      </c>
      <c r="F1097" s="1">
        <v>45078</v>
      </c>
      <c r="G1097" s="10">
        <v>27746.57</v>
      </c>
      <c r="H1097">
        <v>2</v>
      </c>
    </row>
    <row r="1098" spans="1:8" x14ac:dyDescent="0.5">
      <c r="A1098" s="3">
        <v>411</v>
      </c>
      <c r="B1098" s="3">
        <v>104</v>
      </c>
      <c r="C1098" s="3" t="str">
        <f t="shared" si="17"/>
        <v>Old</v>
      </c>
      <c r="D1098" t="s">
        <v>3</v>
      </c>
      <c r="E1098" t="s">
        <v>1</v>
      </c>
      <c r="F1098" s="1">
        <v>45285</v>
      </c>
      <c r="G1098" s="10">
        <v>37793.53</v>
      </c>
      <c r="H1098">
        <v>12</v>
      </c>
    </row>
    <row r="1099" spans="1:8" x14ac:dyDescent="0.5">
      <c r="A1099" s="3">
        <v>118</v>
      </c>
      <c r="B1099" s="3">
        <v>83</v>
      </c>
      <c r="C1099" s="3" t="str">
        <f t="shared" si="17"/>
        <v>Old</v>
      </c>
      <c r="D1099" t="s">
        <v>3</v>
      </c>
      <c r="E1099" t="s">
        <v>4</v>
      </c>
      <c r="F1099" s="1">
        <v>45250</v>
      </c>
      <c r="G1099" s="10">
        <v>14645.69</v>
      </c>
      <c r="H1099">
        <v>4</v>
      </c>
    </row>
    <row r="1100" spans="1:8" x14ac:dyDescent="0.5">
      <c r="A1100" s="3">
        <v>367</v>
      </c>
      <c r="B1100" s="3">
        <v>26</v>
      </c>
      <c r="C1100" s="3" t="str">
        <f t="shared" si="17"/>
        <v>Young</v>
      </c>
      <c r="D1100" t="s">
        <v>3</v>
      </c>
      <c r="E1100" t="s">
        <v>1</v>
      </c>
      <c r="F1100" s="1">
        <v>45273</v>
      </c>
      <c r="G1100" s="10">
        <v>95079.03</v>
      </c>
      <c r="H1100">
        <v>25</v>
      </c>
    </row>
    <row r="1101" spans="1:8" x14ac:dyDescent="0.5">
      <c r="A1101" s="3">
        <v>399</v>
      </c>
      <c r="B1101" s="3">
        <v>54</v>
      </c>
      <c r="C1101" s="3" t="str">
        <f t="shared" si="17"/>
        <v>Middle Age</v>
      </c>
      <c r="D1101" t="s">
        <v>3</v>
      </c>
      <c r="E1101" t="s">
        <v>2</v>
      </c>
      <c r="F1101" s="1">
        <v>45311</v>
      </c>
      <c r="G1101" s="10">
        <v>94086.56</v>
      </c>
      <c r="H1101">
        <v>4</v>
      </c>
    </row>
    <row r="1102" spans="1:8" x14ac:dyDescent="0.5">
      <c r="A1102" s="3">
        <v>8</v>
      </c>
      <c r="B1102" s="3">
        <v>1</v>
      </c>
      <c r="C1102" s="3" t="str">
        <f t="shared" si="17"/>
        <v>Young</v>
      </c>
      <c r="D1102" t="s">
        <v>3</v>
      </c>
      <c r="E1102" t="s">
        <v>1</v>
      </c>
      <c r="F1102" s="1">
        <v>45174</v>
      </c>
      <c r="G1102" s="10">
        <v>18644.96</v>
      </c>
      <c r="H1102">
        <v>0</v>
      </c>
    </row>
    <row r="1103" spans="1:8" x14ac:dyDescent="0.5">
      <c r="A1103" s="3">
        <v>222</v>
      </c>
      <c r="B1103" s="3">
        <v>28</v>
      </c>
      <c r="C1103" s="3" t="str">
        <f t="shared" si="17"/>
        <v>Young</v>
      </c>
      <c r="D1103" t="s">
        <v>5</v>
      </c>
      <c r="E1103" t="s">
        <v>4</v>
      </c>
      <c r="F1103" s="1">
        <v>44971</v>
      </c>
      <c r="G1103" s="10">
        <v>95868.84</v>
      </c>
      <c r="H1103">
        <v>5</v>
      </c>
    </row>
    <row r="1104" spans="1:8" x14ac:dyDescent="0.5">
      <c r="A1104" s="3">
        <v>415</v>
      </c>
      <c r="B1104" s="3">
        <v>26</v>
      </c>
      <c r="C1104" s="3" t="str">
        <f t="shared" si="17"/>
        <v>Young</v>
      </c>
      <c r="D1104" t="s">
        <v>3</v>
      </c>
      <c r="E1104" t="s">
        <v>1</v>
      </c>
      <c r="F1104" s="1">
        <v>45248</v>
      </c>
      <c r="G1104" s="10">
        <v>15270.52</v>
      </c>
      <c r="H1104">
        <v>26</v>
      </c>
    </row>
    <row r="1105" spans="1:8" x14ac:dyDescent="0.5">
      <c r="A1105" s="3">
        <v>107</v>
      </c>
      <c r="B1105" s="3">
        <v>24</v>
      </c>
      <c r="C1105" s="3" t="str">
        <f t="shared" si="17"/>
        <v>Young</v>
      </c>
      <c r="D1105" t="s">
        <v>3</v>
      </c>
      <c r="E1105" t="s">
        <v>1</v>
      </c>
      <c r="F1105" s="1">
        <v>45149</v>
      </c>
      <c r="G1105" s="10">
        <v>64865.45</v>
      </c>
      <c r="H1105">
        <v>17</v>
      </c>
    </row>
    <row r="1106" spans="1:8" x14ac:dyDescent="0.5">
      <c r="A1106" s="3">
        <v>345</v>
      </c>
      <c r="B1106" s="3">
        <v>35</v>
      </c>
      <c r="C1106" s="3" t="str">
        <f t="shared" si="17"/>
        <v>Middle Age</v>
      </c>
      <c r="D1106" t="s">
        <v>3</v>
      </c>
      <c r="E1106" t="s">
        <v>0</v>
      </c>
      <c r="F1106" s="1">
        <v>45288</v>
      </c>
      <c r="G1106" s="10">
        <v>539.39</v>
      </c>
      <c r="H1106">
        <v>19</v>
      </c>
    </row>
    <row r="1107" spans="1:8" x14ac:dyDescent="0.5">
      <c r="A1107" s="3">
        <v>377</v>
      </c>
      <c r="B1107" s="3">
        <v>26</v>
      </c>
      <c r="C1107" s="3" t="str">
        <f t="shared" si="17"/>
        <v>Young</v>
      </c>
      <c r="D1107" t="s">
        <v>3</v>
      </c>
      <c r="E1107" t="s">
        <v>2</v>
      </c>
      <c r="F1107" s="1">
        <v>45221</v>
      </c>
      <c r="G1107" s="10">
        <v>61144.23</v>
      </c>
      <c r="H1107">
        <v>19</v>
      </c>
    </row>
    <row r="1108" spans="1:8" x14ac:dyDescent="0.5">
      <c r="A1108" s="3">
        <v>32</v>
      </c>
      <c r="B1108" s="3">
        <v>26</v>
      </c>
      <c r="C1108" s="3" t="str">
        <f t="shared" si="17"/>
        <v>Young</v>
      </c>
      <c r="D1108" t="s">
        <v>3</v>
      </c>
      <c r="E1108" t="s">
        <v>4</v>
      </c>
      <c r="F1108" s="1">
        <v>45136</v>
      </c>
      <c r="G1108" s="10">
        <v>34362.75</v>
      </c>
      <c r="H1108">
        <v>20</v>
      </c>
    </row>
    <row r="1109" spans="1:8" x14ac:dyDescent="0.5">
      <c r="A1109" s="3">
        <v>298</v>
      </c>
      <c r="B1109" s="3">
        <v>56</v>
      </c>
      <c r="C1109" s="3" t="str">
        <f t="shared" si="17"/>
        <v>Old</v>
      </c>
      <c r="D1109" t="s">
        <v>3</v>
      </c>
      <c r="E1109" t="s">
        <v>0</v>
      </c>
      <c r="F1109" s="1">
        <v>45126</v>
      </c>
      <c r="G1109" s="10">
        <v>88423.75</v>
      </c>
      <c r="H1109">
        <v>11</v>
      </c>
    </row>
    <row r="1110" spans="1:8" x14ac:dyDescent="0.5">
      <c r="A1110" s="3">
        <v>363</v>
      </c>
      <c r="B1110" s="3">
        <v>55</v>
      </c>
      <c r="C1110" s="3" t="str">
        <f t="shared" si="17"/>
        <v>Middle Age</v>
      </c>
      <c r="D1110" t="s">
        <v>5</v>
      </c>
      <c r="E1110" t="s">
        <v>1</v>
      </c>
      <c r="F1110" s="1">
        <v>44979</v>
      </c>
      <c r="G1110" s="10">
        <v>77590.55</v>
      </c>
      <c r="H1110">
        <v>6</v>
      </c>
    </row>
    <row r="1111" spans="1:8" x14ac:dyDescent="0.5">
      <c r="A1111" s="3">
        <v>89</v>
      </c>
      <c r="B1111" s="3">
        <v>26</v>
      </c>
      <c r="C1111" s="3" t="str">
        <f t="shared" si="17"/>
        <v>Young</v>
      </c>
      <c r="D1111" t="s">
        <v>3</v>
      </c>
      <c r="E1111" t="s">
        <v>2</v>
      </c>
      <c r="F1111" s="1">
        <v>45037</v>
      </c>
      <c r="G1111" s="10">
        <v>59385.66</v>
      </c>
      <c r="H1111">
        <v>8</v>
      </c>
    </row>
    <row r="1112" spans="1:8" x14ac:dyDescent="0.5">
      <c r="A1112" s="3">
        <v>79</v>
      </c>
      <c r="B1112" s="3">
        <v>78</v>
      </c>
      <c r="C1112" s="3" t="str">
        <f t="shared" si="17"/>
        <v>Old</v>
      </c>
      <c r="D1112" t="s">
        <v>3</v>
      </c>
      <c r="E1112" t="s">
        <v>1</v>
      </c>
      <c r="F1112" s="1">
        <v>45146</v>
      </c>
      <c r="G1112" s="10">
        <v>74838.27</v>
      </c>
      <c r="H1112">
        <v>8</v>
      </c>
    </row>
    <row r="1113" spans="1:8" x14ac:dyDescent="0.5">
      <c r="A1113" s="3">
        <v>58</v>
      </c>
      <c r="B1113" s="3">
        <v>60</v>
      </c>
      <c r="C1113" s="3" t="str">
        <f t="shared" si="17"/>
        <v>Old</v>
      </c>
      <c r="D1113" t="s">
        <v>3</v>
      </c>
      <c r="E1113" t="s">
        <v>6</v>
      </c>
      <c r="F1113" s="1">
        <v>45205</v>
      </c>
      <c r="G1113" s="10">
        <v>80609.2</v>
      </c>
      <c r="H1113">
        <v>3</v>
      </c>
    </row>
    <row r="1114" spans="1:8" x14ac:dyDescent="0.5">
      <c r="A1114" s="3">
        <v>484</v>
      </c>
      <c r="B1114" s="3">
        <v>78</v>
      </c>
      <c r="C1114" s="3" t="str">
        <f t="shared" si="17"/>
        <v>Old</v>
      </c>
      <c r="D1114" t="s">
        <v>3</v>
      </c>
      <c r="E1114" t="s">
        <v>4</v>
      </c>
      <c r="F1114" s="1">
        <v>45271</v>
      </c>
      <c r="G1114" s="10">
        <v>19648.86</v>
      </c>
      <c r="H1114">
        <v>12</v>
      </c>
    </row>
    <row r="1115" spans="1:8" x14ac:dyDescent="0.5">
      <c r="A1115" s="3">
        <v>336</v>
      </c>
      <c r="B1115" s="3">
        <v>23</v>
      </c>
      <c r="C1115" s="3" t="str">
        <f t="shared" si="17"/>
        <v>Young</v>
      </c>
      <c r="D1115" t="s">
        <v>3</v>
      </c>
      <c r="E1115" t="s">
        <v>1</v>
      </c>
      <c r="F1115" s="1">
        <v>45309</v>
      </c>
      <c r="G1115" s="10">
        <v>30351.08</v>
      </c>
      <c r="H1115">
        <v>3</v>
      </c>
    </row>
    <row r="1116" spans="1:8" x14ac:dyDescent="0.5">
      <c r="A1116" s="3">
        <v>418</v>
      </c>
      <c r="B1116" s="3">
        <v>43</v>
      </c>
      <c r="C1116" s="3" t="str">
        <f t="shared" si="17"/>
        <v>Middle Age</v>
      </c>
      <c r="D1116" t="s">
        <v>5</v>
      </c>
      <c r="E1116" t="s">
        <v>1</v>
      </c>
      <c r="F1116" s="1">
        <v>45137</v>
      </c>
      <c r="G1116" s="10">
        <v>84365.25</v>
      </c>
      <c r="H1116">
        <v>26</v>
      </c>
    </row>
    <row r="1117" spans="1:8" x14ac:dyDescent="0.5">
      <c r="A1117" s="3">
        <v>75</v>
      </c>
      <c r="B1117" s="3">
        <v>62</v>
      </c>
      <c r="C1117" s="3" t="str">
        <f t="shared" si="17"/>
        <v>Old</v>
      </c>
      <c r="D1117" t="s">
        <v>3</v>
      </c>
      <c r="E1117" t="s">
        <v>6</v>
      </c>
      <c r="F1117" s="1">
        <v>45037</v>
      </c>
      <c r="G1117" s="10">
        <v>90303.23</v>
      </c>
      <c r="H1117">
        <v>11</v>
      </c>
    </row>
    <row r="1118" spans="1:8" x14ac:dyDescent="0.5">
      <c r="A1118" s="3">
        <v>128</v>
      </c>
      <c r="B1118" s="3">
        <v>94</v>
      </c>
      <c r="C1118" s="3" t="str">
        <f t="shared" si="17"/>
        <v>Old</v>
      </c>
      <c r="D1118" t="s">
        <v>3</v>
      </c>
      <c r="E1118" t="s">
        <v>6</v>
      </c>
      <c r="F1118" s="1">
        <v>45272</v>
      </c>
      <c r="G1118" s="10">
        <v>35966.300000000003</v>
      </c>
      <c r="H1118">
        <v>2</v>
      </c>
    </row>
    <row r="1119" spans="1:8" x14ac:dyDescent="0.5">
      <c r="A1119" s="3">
        <v>235</v>
      </c>
      <c r="B1119" s="3">
        <v>26</v>
      </c>
      <c r="C1119" s="3" t="str">
        <f t="shared" si="17"/>
        <v>Young</v>
      </c>
      <c r="D1119" t="s">
        <v>3</v>
      </c>
      <c r="E1119" t="s">
        <v>2</v>
      </c>
      <c r="F1119" s="1">
        <v>45161</v>
      </c>
      <c r="G1119" s="10">
        <v>46276.03</v>
      </c>
      <c r="H1119">
        <v>3</v>
      </c>
    </row>
    <row r="1120" spans="1:8" x14ac:dyDescent="0.5">
      <c r="A1120" s="3">
        <v>305</v>
      </c>
      <c r="B1120" s="3">
        <v>36</v>
      </c>
      <c r="C1120" s="3" t="str">
        <f t="shared" si="17"/>
        <v>Middle Age</v>
      </c>
      <c r="D1120" t="s">
        <v>5</v>
      </c>
      <c r="E1120" t="s">
        <v>1</v>
      </c>
      <c r="F1120" s="1">
        <v>45192</v>
      </c>
      <c r="G1120" s="10">
        <v>52617.84</v>
      </c>
      <c r="H1120">
        <v>17</v>
      </c>
    </row>
    <row r="1121" spans="1:8" x14ac:dyDescent="0.5">
      <c r="A1121" s="3">
        <v>301</v>
      </c>
      <c r="B1121" s="3">
        <v>43</v>
      </c>
      <c r="C1121" s="3" t="str">
        <f t="shared" si="17"/>
        <v>Middle Age</v>
      </c>
      <c r="D1121" t="s">
        <v>3</v>
      </c>
      <c r="E1121" t="s">
        <v>4</v>
      </c>
      <c r="F1121" s="1">
        <v>45027</v>
      </c>
      <c r="G1121" s="10">
        <v>35984.71</v>
      </c>
      <c r="H1121">
        <v>28</v>
      </c>
    </row>
    <row r="1122" spans="1:8" x14ac:dyDescent="0.5">
      <c r="A1122" s="3">
        <v>30</v>
      </c>
      <c r="B1122" s="3">
        <v>96</v>
      </c>
      <c r="C1122" s="3" t="str">
        <f t="shared" si="17"/>
        <v>Old</v>
      </c>
      <c r="D1122" t="s">
        <v>5</v>
      </c>
      <c r="E1122" t="s">
        <v>6</v>
      </c>
      <c r="F1122" s="1">
        <v>45188</v>
      </c>
      <c r="G1122" s="10">
        <v>5374.74</v>
      </c>
      <c r="H1122">
        <v>29</v>
      </c>
    </row>
    <row r="1123" spans="1:8" x14ac:dyDescent="0.5">
      <c r="A1123" s="3">
        <v>288</v>
      </c>
      <c r="B1123" s="3">
        <v>20</v>
      </c>
      <c r="C1123" s="3" t="str">
        <f t="shared" si="17"/>
        <v>Young</v>
      </c>
      <c r="D1123" t="s">
        <v>3</v>
      </c>
      <c r="E1123" t="s">
        <v>4</v>
      </c>
      <c r="F1123" s="1">
        <v>45274</v>
      </c>
      <c r="G1123" s="10">
        <v>3704.39</v>
      </c>
      <c r="H1123">
        <v>17</v>
      </c>
    </row>
    <row r="1124" spans="1:8" x14ac:dyDescent="0.5">
      <c r="A1124" s="3">
        <v>9</v>
      </c>
      <c r="B1124" s="3">
        <v>43</v>
      </c>
      <c r="C1124" s="3" t="str">
        <f t="shared" si="17"/>
        <v>Middle Age</v>
      </c>
      <c r="D1124" t="s">
        <v>3</v>
      </c>
      <c r="E1124" t="s">
        <v>1</v>
      </c>
      <c r="F1124" s="1">
        <v>45145</v>
      </c>
      <c r="G1124" s="10">
        <v>75009.39</v>
      </c>
      <c r="H1124">
        <v>8</v>
      </c>
    </row>
    <row r="1125" spans="1:8" x14ac:dyDescent="0.5">
      <c r="A1125" s="3">
        <v>255</v>
      </c>
      <c r="B1125" s="3">
        <v>64</v>
      </c>
      <c r="C1125" s="3" t="str">
        <f t="shared" si="17"/>
        <v>Old</v>
      </c>
      <c r="D1125" t="s">
        <v>3</v>
      </c>
      <c r="E1125" t="s">
        <v>2</v>
      </c>
      <c r="F1125" s="1">
        <v>45229</v>
      </c>
      <c r="G1125" s="10">
        <v>4249.17</v>
      </c>
      <c r="H1125">
        <v>4</v>
      </c>
    </row>
    <row r="1126" spans="1:8" x14ac:dyDescent="0.5">
      <c r="A1126" s="3">
        <v>492</v>
      </c>
      <c r="B1126" s="3">
        <v>63</v>
      </c>
      <c r="C1126" s="3" t="str">
        <f t="shared" si="17"/>
        <v>Old</v>
      </c>
      <c r="D1126" t="s">
        <v>5</v>
      </c>
      <c r="E1126" t="s">
        <v>1</v>
      </c>
      <c r="F1126" s="1">
        <v>45212</v>
      </c>
      <c r="G1126" s="10">
        <v>98728.53</v>
      </c>
      <c r="H1126">
        <v>16</v>
      </c>
    </row>
    <row r="1127" spans="1:8" x14ac:dyDescent="0.5">
      <c r="A1127" s="3">
        <v>113</v>
      </c>
      <c r="B1127" s="3">
        <v>60</v>
      </c>
      <c r="C1127" s="3" t="str">
        <f t="shared" si="17"/>
        <v>Old</v>
      </c>
      <c r="D1127" t="s">
        <v>3</v>
      </c>
      <c r="E1127" t="s">
        <v>1</v>
      </c>
      <c r="F1127" s="1">
        <v>44939</v>
      </c>
      <c r="G1127" s="10">
        <v>20224.64</v>
      </c>
      <c r="H1127">
        <v>4</v>
      </c>
    </row>
    <row r="1128" spans="1:8" x14ac:dyDescent="0.5">
      <c r="A1128" s="3">
        <v>457</v>
      </c>
      <c r="B1128" s="3">
        <v>20</v>
      </c>
      <c r="C1128" s="3" t="str">
        <f t="shared" si="17"/>
        <v>Young</v>
      </c>
      <c r="D1128" t="s">
        <v>3</v>
      </c>
      <c r="E1128" t="s">
        <v>0</v>
      </c>
      <c r="F1128" s="1">
        <v>44975</v>
      </c>
      <c r="G1128" s="10">
        <v>36560.559999999998</v>
      </c>
      <c r="H1128">
        <v>1</v>
      </c>
    </row>
    <row r="1129" spans="1:8" x14ac:dyDescent="0.5">
      <c r="A1129" s="3">
        <v>256</v>
      </c>
      <c r="B1129" s="3">
        <v>49</v>
      </c>
      <c r="C1129" s="3" t="str">
        <f t="shared" si="17"/>
        <v>Middle Age</v>
      </c>
      <c r="D1129" t="s">
        <v>5</v>
      </c>
      <c r="E1129" t="s">
        <v>2</v>
      </c>
      <c r="F1129" s="1">
        <v>45131</v>
      </c>
      <c r="G1129" s="10">
        <v>8136.53</v>
      </c>
      <c r="H1129">
        <v>3</v>
      </c>
    </row>
    <row r="1130" spans="1:8" x14ac:dyDescent="0.5">
      <c r="A1130" s="3">
        <v>293</v>
      </c>
      <c r="B1130" s="3">
        <v>52</v>
      </c>
      <c r="C1130" s="3" t="str">
        <f t="shared" si="17"/>
        <v>Middle Age</v>
      </c>
      <c r="D1130" t="s">
        <v>5</v>
      </c>
      <c r="E1130" t="s">
        <v>2</v>
      </c>
      <c r="F1130" s="1">
        <v>44962</v>
      </c>
      <c r="G1130" s="10">
        <v>77053.210000000006</v>
      </c>
      <c r="H1130">
        <v>3</v>
      </c>
    </row>
    <row r="1131" spans="1:8" x14ac:dyDescent="0.5">
      <c r="A1131" s="3">
        <v>437</v>
      </c>
      <c r="B1131" s="3">
        <v>20</v>
      </c>
      <c r="C1131" s="3" t="str">
        <f t="shared" si="17"/>
        <v>Young</v>
      </c>
      <c r="D1131" t="s">
        <v>5</v>
      </c>
      <c r="E1131" t="s">
        <v>0</v>
      </c>
      <c r="F1131" s="1">
        <v>45303</v>
      </c>
      <c r="G1131" s="10">
        <v>24897.18</v>
      </c>
      <c r="H1131">
        <v>29</v>
      </c>
    </row>
    <row r="1132" spans="1:8" x14ac:dyDescent="0.5">
      <c r="A1132" s="3">
        <v>63</v>
      </c>
      <c r="B1132" s="3">
        <v>22</v>
      </c>
      <c r="C1132" s="3" t="str">
        <f t="shared" si="17"/>
        <v>Young</v>
      </c>
      <c r="D1132" t="s">
        <v>3</v>
      </c>
      <c r="E1132" t="s">
        <v>4</v>
      </c>
      <c r="F1132" s="1">
        <v>45086</v>
      </c>
      <c r="G1132" s="10">
        <v>22438.799999999999</v>
      </c>
      <c r="H1132">
        <v>20</v>
      </c>
    </row>
    <row r="1133" spans="1:8" x14ac:dyDescent="0.5">
      <c r="A1133" s="3">
        <v>401</v>
      </c>
      <c r="B1133" s="3">
        <v>78</v>
      </c>
      <c r="C1133" s="3" t="str">
        <f t="shared" si="17"/>
        <v>Old</v>
      </c>
      <c r="D1133" t="s">
        <v>3</v>
      </c>
      <c r="E1133" t="s">
        <v>1</v>
      </c>
      <c r="F1133" s="1">
        <v>45318</v>
      </c>
      <c r="G1133" s="10">
        <v>93554.95</v>
      </c>
      <c r="H1133">
        <v>0</v>
      </c>
    </row>
    <row r="1134" spans="1:8" x14ac:dyDescent="0.5">
      <c r="A1134" s="3">
        <v>390</v>
      </c>
      <c r="B1134" s="3">
        <v>20</v>
      </c>
      <c r="C1134" s="3" t="str">
        <f t="shared" si="17"/>
        <v>Young</v>
      </c>
      <c r="D1134" t="s">
        <v>5</v>
      </c>
      <c r="E1134" t="s">
        <v>2</v>
      </c>
      <c r="F1134" s="1">
        <v>45196</v>
      </c>
      <c r="G1134" s="10">
        <v>29229.64</v>
      </c>
      <c r="H1134">
        <v>24</v>
      </c>
    </row>
    <row r="1135" spans="1:8" x14ac:dyDescent="0.5">
      <c r="A1135" s="3">
        <v>224</v>
      </c>
      <c r="B1135" s="3">
        <v>20</v>
      </c>
      <c r="C1135" s="3" t="str">
        <f t="shared" si="17"/>
        <v>Young</v>
      </c>
      <c r="D1135" t="s">
        <v>3</v>
      </c>
      <c r="E1135" t="s">
        <v>0</v>
      </c>
      <c r="F1135" s="1">
        <v>45087</v>
      </c>
      <c r="G1135" s="10">
        <v>4716.1499999999996</v>
      </c>
      <c r="H1135">
        <v>7</v>
      </c>
    </row>
    <row r="1136" spans="1:8" x14ac:dyDescent="0.5">
      <c r="A1136" s="3">
        <v>299</v>
      </c>
      <c r="B1136" s="3">
        <v>57</v>
      </c>
      <c r="C1136" s="3" t="str">
        <f t="shared" si="17"/>
        <v>Old</v>
      </c>
      <c r="D1136" t="s">
        <v>3</v>
      </c>
      <c r="E1136" t="s">
        <v>0</v>
      </c>
      <c r="F1136" s="1">
        <v>45104</v>
      </c>
      <c r="G1136" s="10">
        <v>20768.91</v>
      </c>
      <c r="H1136">
        <v>11</v>
      </c>
    </row>
    <row r="1137" spans="1:8" x14ac:dyDescent="0.5">
      <c r="A1137" s="3">
        <v>461</v>
      </c>
      <c r="B1137" s="3">
        <v>75</v>
      </c>
      <c r="C1137" s="3" t="str">
        <f t="shared" si="17"/>
        <v>Old</v>
      </c>
      <c r="D1137" t="s">
        <v>5</v>
      </c>
      <c r="E1137" t="s">
        <v>0</v>
      </c>
      <c r="F1137" s="1">
        <v>45140</v>
      </c>
      <c r="G1137" s="10">
        <v>84655.78</v>
      </c>
      <c r="H1137">
        <v>18</v>
      </c>
    </row>
    <row r="1138" spans="1:8" x14ac:dyDescent="0.5">
      <c r="A1138" s="3">
        <v>493</v>
      </c>
      <c r="B1138" s="3">
        <v>47</v>
      </c>
      <c r="C1138" s="3" t="str">
        <f t="shared" si="17"/>
        <v>Middle Age</v>
      </c>
      <c r="D1138" t="s">
        <v>3</v>
      </c>
      <c r="E1138" t="s">
        <v>2</v>
      </c>
      <c r="F1138" s="1">
        <v>45193</v>
      </c>
      <c r="G1138" s="10">
        <v>87391.14</v>
      </c>
      <c r="H1138">
        <v>26</v>
      </c>
    </row>
    <row r="1139" spans="1:8" x14ac:dyDescent="0.5">
      <c r="A1139" s="3">
        <v>340</v>
      </c>
      <c r="B1139" s="3">
        <v>48</v>
      </c>
      <c r="C1139" s="3" t="str">
        <f t="shared" si="17"/>
        <v>Middle Age</v>
      </c>
      <c r="D1139" t="s">
        <v>3</v>
      </c>
      <c r="E1139" t="s">
        <v>2</v>
      </c>
      <c r="F1139" s="1">
        <v>45143</v>
      </c>
      <c r="G1139" s="10">
        <v>83783.679999999993</v>
      </c>
      <c r="H1139">
        <v>22</v>
      </c>
    </row>
    <row r="1140" spans="1:8" x14ac:dyDescent="0.5">
      <c r="A1140" s="3">
        <v>452</v>
      </c>
      <c r="B1140" s="3">
        <v>20</v>
      </c>
      <c r="C1140" s="3" t="str">
        <f t="shared" si="17"/>
        <v>Young</v>
      </c>
      <c r="D1140" t="s">
        <v>3</v>
      </c>
      <c r="E1140" t="s">
        <v>2</v>
      </c>
      <c r="F1140" s="1">
        <v>45101</v>
      </c>
      <c r="G1140" s="10">
        <v>78443.66</v>
      </c>
      <c r="H1140">
        <v>11</v>
      </c>
    </row>
    <row r="1141" spans="1:8" x14ac:dyDescent="0.5">
      <c r="A1141" s="3">
        <v>333</v>
      </c>
      <c r="B1141" s="3">
        <v>47</v>
      </c>
      <c r="C1141" s="3" t="str">
        <f t="shared" si="17"/>
        <v>Middle Age</v>
      </c>
      <c r="D1141" t="s">
        <v>3</v>
      </c>
      <c r="E1141" t="s">
        <v>4</v>
      </c>
      <c r="F1141" s="1">
        <v>45236</v>
      </c>
      <c r="G1141" s="10">
        <v>1527.14</v>
      </c>
      <c r="H1141">
        <v>18</v>
      </c>
    </row>
    <row r="1142" spans="1:8" x14ac:dyDescent="0.5">
      <c r="A1142" s="3">
        <v>231</v>
      </c>
      <c r="B1142" s="3">
        <v>20</v>
      </c>
      <c r="C1142" s="3" t="str">
        <f t="shared" si="17"/>
        <v>Young</v>
      </c>
      <c r="D1142" t="s">
        <v>3</v>
      </c>
      <c r="E1142" t="s">
        <v>2</v>
      </c>
      <c r="F1142" s="1">
        <v>44948</v>
      </c>
      <c r="G1142" s="10">
        <v>81188.3</v>
      </c>
      <c r="H1142">
        <v>3</v>
      </c>
    </row>
    <row r="1143" spans="1:8" x14ac:dyDescent="0.5">
      <c r="A1143" s="3">
        <v>50</v>
      </c>
      <c r="B1143" s="3">
        <v>20</v>
      </c>
      <c r="C1143" s="3" t="str">
        <f t="shared" si="17"/>
        <v>Young</v>
      </c>
      <c r="D1143" t="s">
        <v>3</v>
      </c>
      <c r="E1143" t="s">
        <v>0</v>
      </c>
      <c r="F1143" s="1">
        <v>45236</v>
      </c>
      <c r="G1143" s="10">
        <v>40677.519999999997</v>
      </c>
      <c r="H1143">
        <v>1</v>
      </c>
    </row>
    <row r="1144" spans="1:8" x14ac:dyDescent="0.5">
      <c r="A1144" s="3">
        <v>498</v>
      </c>
      <c r="B1144" s="3">
        <v>86</v>
      </c>
      <c r="C1144" s="3" t="str">
        <f t="shared" si="17"/>
        <v>Old</v>
      </c>
      <c r="D1144" t="s">
        <v>5</v>
      </c>
      <c r="E1144" t="s">
        <v>0</v>
      </c>
      <c r="F1144" s="1">
        <v>44935</v>
      </c>
      <c r="G1144" s="10">
        <v>37651.93</v>
      </c>
      <c r="H1144">
        <v>23</v>
      </c>
    </row>
    <row r="1145" spans="1:8" x14ac:dyDescent="0.5">
      <c r="A1145" s="3">
        <v>438</v>
      </c>
      <c r="B1145" s="3">
        <v>20</v>
      </c>
      <c r="C1145" s="3" t="str">
        <f t="shared" si="17"/>
        <v>Young</v>
      </c>
      <c r="D1145" t="s">
        <v>3</v>
      </c>
      <c r="E1145" t="s">
        <v>4</v>
      </c>
      <c r="F1145" s="1">
        <v>45139</v>
      </c>
      <c r="G1145" s="10">
        <v>94833.69</v>
      </c>
      <c r="H1145">
        <v>1</v>
      </c>
    </row>
    <row r="1146" spans="1:8" x14ac:dyDescent="0.5">
      <c r="A1146" s="3">
        <v>419</v>
      </c>
      <c r="B1146" s="3">
        <v>56</v>
      </c>
      <c r="C1146" s="3" t="str">
        <f t="shared" si="17"/>
        <v>Old</v>
      </c>
      <c r="D1146" t="s">
        <v>5</v>
      </c>
      <c r="E1146" t="s">
        <v>0</v>
      </c>
      <c r="F1146" s="1">
        <v>45003</v>
      </c>
      <c r="G1146" s="10">
        <v>67495.839999999997</v>
      </c>
      <c r="H1146">
        <v>1</v>
      </c>
    </row>
    <row r="1147" spans="1:8" x14ac:dyDescent="0.5">
      <c r="A1147" s="3">
        <v>113</v>
      </c>
      <c r="B1147" s="3">
        <v>64</v>
      </c>
      <c r="C1147" s="3" t="str">
        <f t="shared" si="17"/>
        <v>Old</v>
      </c>
      <c r="D1147" t="s">
        <v>3</v>
      </c>
      <c r="E1147" t="s">
        <v>6</v>
      </c>
      <c r="F1147" s="1">
        <v>45031</v>
      </c>
      <c r="G1147" s="10">
        <v>54574.02</v>
      </c>
      <c r="H1147">
        <v>1</v>
      </c>
    </row>
    <row r="1148" spans="1:8" x14ac:dyDescent="0.5">
      <c r="A1148" s="3">
        <v>198</v>
      </c>
      <c r="B1148" s="3">
        <v>44</v>
      </c>
      <c r="C1148" s="3" t="str">
        <f t="shared" si="17"/>
        <v>Middle Age</v>
      </c>
      <c r="D1148" t="s">
        <v>3</v>
      </c>
      <c r="E1148" t="s">
        <v>4</v>
      </c>
      <c r="F1148" s="1">
        <v>45010</v>
      </c>
      <c r="G1148" s="10">
        <v>31338.45</v>
      </c>
      <c r="H1148">
        <v>10</v>
      </c>
    </row>
    <row r="1149" spans="1:8" x14ac:dyDescent="0.5">
      <c r="A1149" s="3">
        <v>81</v>
      </c>
      <c r="B1149" s="3">
        <v>32</v>
      </c>
      <c r="C1149" s="3" t="str">
        <f t="shared" si="17"/>
        <v>Middle Age</v>
      </c>
      <c r="D1149" t="s">
        <v>3</v>
      </c>
      <c r="E1149" t="s">
        <v>2</v>
      </c>
      <c r="F1149" s="1">
        <v>45292</v>
      </c>
      <c r="G1149" s="10">
        <v>64400.62</v>
      </c>
      <c r="H1149">
        <v>24</v>
      </c>
    </row>
    <row r="1150" spans="1:8" x14ac:dyDescent="0.5">
      <c r="A1150" s="3">
        <v>164</v>
      </c>
      <c r="B1150" s="3">
        <v>82</v>
      </c>
      <c r="C1150" s="3" t="str">
        <f t="shared" si="17"/>
        <v>Old</v>
      </c>
      <c r="D1150" t="s">
        <v>3</v>
      </c>
      <c r="E1150" t="s">
        <v>2</v>
      </c>
      <c r="F1150" s="1">
        <v>45312</v>
      </c>
      <c r="G1150" s="10">
        <v>44634.52</v>
      </c>
      <c r="H1150">
        <v>2</v>
      </c>
    </row>
    <row r="1151" spans="1:8" x14ac:dyDescent="0.5">
      <c r="A1151" s="3">
        <v>325</v>
      </c>
      <c r="B1151" s="3">
        <v>81</v>
      </c>
      <c r="C1151" s="3" t="str">
        <f t="shared" si="17"/>
        <v>Old</v>
      </c>
      <c r="D1151" t="s">
        <v>3</v>
      </c>
      <c r="E1151" t="s">
        <v>1</v>
      </c>
      <c r="F1151" s="1">
        <v>45189</v>
      </c>
      <c r="G1151" s="10">
        <v>36883.49</v>
      </c>
      <c r="H1151">
        <v>23</v>
      </c>
    </row>
    <row r="1152" spans="1:8" x14ac:dyDescent="0.5">
      <c r="A1152" s="3">
        <v>430</v>
      </c>
      <c r="B1152" s="3">
        <v>93</v>
      </c>
      <c r="C1152" s="3" t="str">
        <f t="shared" si="17"/>
        <v>Old</v>
      </c>
      <c r="D1152" t="s">
        <v>5</v>
      </c>
      <c r="E1152" t="s">
        <v>0</v>
      </c>
      <c r="F1152" s="1">
        <v>45043</v>
      </c>
      <c r="G1152" s="10">
        <v>47945.04</v>
      </c>
      <c r="H1152">
        <v>13</v>
      </c>
    </row>
    <row r="1153" spans="1:8" x14ac:dyDescent="0.5">
      <c r="A1153" s="3">
        <v>274</v>
      </c>
      <c r="B1153" s="3">
        <v>91</v>
      </c>
      <c r="C1153" s="3" t="str">
        <f t="shared" si="17"/>
        <v>Old</v>
      </c>
      <c r="D1153" t="s">
        <v>5</v>
      </c>
      <c r="E1153" t="s">
        <v>0</v>
      </c>
      <c r="F1153" s="1">
        <v>44955</v>
      </c>
      <c r="G1153" s="10">
        <v>27971.82</v>
      </c>
      <c r="H1153">
        <v>4</v>
      </c>
    </row>
    <row r="1154" spans="1:8" x14ac:dyDescent="0.5">
      <c r="A1154" s="3">
        <v>308</v>
      </c>
      <c r="B1154" s="3">
        <v>20</v>
      </c>
      <c r="C1154" s="3" t="str">
        <f t="shared" ref="C1154:C1217" si="18">IF(B1154&lt;=30,"Young", IF(B1154&lt;=55,"Middle Age",IF(B1154&gt;55,"Old","Not found")))</f>
        <v>Young</v>
      </c>
      <c r="D1154" t="s">
        <v>3</v>
      </c>
      <c r="E1154" t="s">
        <v>2</v>
      </c>
      <c r="F1154" s="1">
        <v>44957</v>
      </c>
      <c r="G1154" s="10">
        <v>26068.27</v>
      </c>
      <c r="H1154">
        <v>24</v>
      </c>
    </row>
    <row r="1155" spans="1:8" x14ac:dyDescent="0.5">
      <c r="A1155" s="3">
        <v>425</v>
      </c>
      <c r="B1155" s="3">
        <v>38</v>
      </c>
      <c r="C1155" s="3" t="str">
        <f t="shared" si="18"/>
        <v>Middle Age</v>
      </c>
      <c r="D1155" t="s">
        <v>5</v>
      </c>
      <c r="E1155" t="s">
        <v>6</v>
      </c>
      <c r="F1155" s="1">
        <v>45229</v>
      </c>
      <c r="G1155" s="10">
        <v>92833.02</v>
      </c>
      <c r="H1155">
        <v>19</v>
      </c>
    </row>
    <row r="1156" spans="1:8" x14ac:dyDescent="0.5">
      <c r="A1156" s="3">
        <v>197</v>
      </c>
      <c r="B1156" s="3">
        <v>42</v>
      </c>
      <c r="C1156" s="3" t="str">
        <f t="shared" si="18"/>
        <v>Middle Age</v>
      </c>
      <c r="D1156" t="s">
        <v>5</v>
      </c>
      <c r="E1156" t="s">
        <v>4</v>
      </c>
      <c r="F1156" s="1">
        <v>45118</v>
      </c>
      <c r="G1156" s="10">
        <v>45425.88</v>
      </c>
      <c r="H1156">
        <v>20</v>
      </c>
    </row>
    <row r="1157" spans="1:8" x14ac:dyDescent="0.5">
      <c r="A1157" s="3">
        <v>211</v>
      </c>
      <c r="B1157" s="3">
        <v>69</v>
      </c>
      <c r="C1157" s="3" t="str">
        <f t="shared" si="18"/>
        <v>Old</v>
      </c>
      <c r="D1157" t="s">
        <v>5</v>
      </c>
      <c r="E1157" t="s">
        <v>2</v>
      </c>
      <c r="F1157" s="1">
        <v>44962</v>
      </c>
      <c r="G1157" s="10">
        <v>62648.86</v>
      </c>
      <c r="H1157">
        <v>16</v>
      </c>
    </row>
    <row r="1158" spans="1:8" x14ac:dyDescent="0.5">
      <c r="A1158" s="3">
        <v>226</v>
      </c>
      <c r="B1158" s="3">
        <v>64</v>
      </c>
      <c r="C1158" s="3" t="str">
        <f t="shared" si="18"/>
        <v>Old</v>
      </c>
      <c r="D1158" t="s">
        <v>3</v>
      </c>
      <c r="E1158" t="s">
        <v>6</v>
      </c>
      <c r="F1158" s="1">
        <v>45078</v>
      </c>
      <c r="G1158" s="10">
        <v>85108.96</v>
      </c>
      <c r="H1158">
        <v>16</v>
      </c>
    </row>
    <row r="1159" spans="1:8" x14ac:dyDescent="0.5">
      <c r="A1159" s="3">
        <v>4</v>
      </c>
      <c r="B1159" s="3">
        <v>64</v>
      </c>
      <c r="C1159" s="3" t="str">
        <f t="shared" si="18"/>
        <v>Old</v>
      </c>
      <c r="D1159" t="s">
        <v>5</v>
      </c>
      <c r="E1159" t="s">
        <v>2</v>
      </c>
      <c r="F1159" s="1">
        <v>45148</v>
      </c>
      <c r="G1159" s="10">
        <v>2194.06</v>
      </c>
      <c r="H1159">
        <v>22</v>
      </c>
    </row>
    <row r="1160" spans="1:8" x14ac:dyDescent="0.5">
      <c r="A1160" s="3">
        <v>192</v>
      </c>
      <c r="B1160" s="3">
        <v>20</v>
      </c>
      <c r="C1160" s="3" t="str">
        <f t="shared" si="18"/>
        <v>Young</v>
      </c>
      <c r="D1160" t="s">
        <v>3</v>
      </c>
      <c r="E1160" t="s">
        <v>4</v>
      </c>
      <c r="F1160" s="1">
        <v>44953</v>
      </c>
      <c r="G1160" s="10">
        <v>14915.78</v>
      </c>
      <c r="H1160">
        <v>18</v>
      </c>
    </row>
    <row r="1161" spans="1:8" x14ac:dyDescent="0.5">
      <c r="A1161" s="3">
        <v>335</v>
      </c>
      <c r="B1161" s="3">
        <v>64</v>
      </c>
      <c r="C1161" s="3" t="str">
        <f t="shared" si="18"/>
        <v>Old</v>
      </c>
      <c r="D1161" t="s">
        <v>3</v>
      </c>
      <c r="E1161" t="s">
        <v>2</v>
      </c>
      <c r="F1161" s="1">
        <v>45026</v>
      </c>
      <c r="G1161" s="10">
        <v>2274.61</v>
      </c>
      <c r="H1161">
        <v>2</v>
      </c>
    </row>
    <row r="1162" spans="1:8" x14ac:dyDescent="0.5">
      <c r="A1162" s="3">
        <v>260</v>
      </c>
      <c r="B1162" s="3">
        <v>51</v>
      </c>
      <c r="C1162" s="3" t="str">
        <f t="shared" si="18"/>
        <v>Middle Age</v>
      </c>
      <c r="D1162" t="s">
        <v>5</v>
      </c>
      <c r="E1162" t="s">
        <v>1</v>
      </c>
      <c r="F1162" s="1">
        <v>45043</v>
      </c>
      <c r="G1162" s="10">
        <v>67705.279999999999</v>
      </c>
      <c r="H1162">
        <v>26</v>
      </c>
    </row>
    <row r="1163" spans="1:8" x14ac:dyDescent="0.5">
      <c r="A1163" s="3">
        <v>50</v>
      </c>
      <c r="B1163" s="3">
        <v>94</v>
      </c>
      <c r="C1163" s="3" t="str">
        <f t="shared" si="18"/>
        <v>Old</v>
      </c>
      <c r="D1163" t="s">
        <v>3</v>
      </c>
      <c r="E1163" t="s">
        <v>2</v>
      </c>
      <c r="F1163" s="1">
        <v>45020</v>
      </c>
      <c r="G1163" s="10">
        <v>7438.5</v>
      </c>
      <c r="H1163">
        <v>16</v>
      </c>
    </row>
    <row r="1164" spans="1:8" x14ac:dyDescent="0.5">
      <c r="A1164" s="3">
        <v>135</v>
      </c>
      <c r="B1164" s="3">
        <v>34</v>
      </c>
      <c r="C1164" s="3" t="str">
        <f t="shared" si="18"/>
        <v>Middle Age</v>
      </c>
      <c r="D1164" t="s">
        <v>3</v>
      </c>
      <c r="E1164" t="s">
        <v>0</v>
      </c>
      <c r="F1164" s="1">
        <v>44950</v>
      </c>
      <c r="G1164" s="10">
        <v>42075.51</v>
      </c>
      <c r="H1164">
        <v>14</v>
      </c>
    </row>
    <row r="1165" spans="1:8" x14ac:dyDescent="0.5">
      <c r="A1165" s="3">
        <v>87</v>
      </c>
      <c r="B1165" s="3">
        <v>35</v>
      </c>
      <c r="C1165" s="3" t="str">
        <f t="shared" si="18"/>
        <v>Middle Age</v>
      </c>
      <c r="D1165" t="s">
        <v>5</v>
      </c>
      <c r="E1165" t="s">
        <v>6</v>
      </c>
      <c r="F1165" s="1">
        <v>45230</v>
      </c>
      <c r="G1165" s="10">
        <v>85393.5</v>
      </c>
      <c r="H1165">
        <v>11</v>
      </c>
    </row>
    <row r="1166" spans="1:8" x14ac:dyDescent="0.5">
      <c r="A1166" s="3">
        <v>478</v>
      </c>
      <c r="B1166" s="3">
        <v>20</v>
      </c>
      <c r="C1166" s="3" t="str">
        <f t="shared" si="18"/>
        <v>Young</v>
      </c>
      <c r="D1166" t="s">
        <v>5</v>
      </c>
      <c r="E1166" t="s">
        <v>1</v>
      </c>
      <c r="F1166" s="1">
        <v>45152</v>
      </c>
      <c r="G1166" s="10">
        <v>42439.87</v>
      </c>
      <c r="H1166">
        <v>12</v>
      </c>
    </row>
    <row r="1167" spans="1:8" x14ac:dyDescent="0.5">
      <c r="A1167" s="3">
        <v>440</v>
      </c>
      <c r="B1167" s="3">
        <v>20</v>
      </c>
      <c r="C1167" s="3" t="str">
        <f t="shared" si="18"/>
        <v>Young</v>
      </c>
      <c r="D1167" t="s">
        <v>5</v>
      </c>
      <c r="E1167" t="s">
        <v>1</v>
      </c>
      <c r="F1167" s="1">
        <v>44952</v>
      </c>
      <c r="G1167" s="10">
        <v>47181.17</v>
      </c>
      <c r="H1167">
        <v>1</v>
      </c>
    </row>
    <row r="1168" spans="1:8" x14ac:dyDescent="0.5">
      <c r="A1168" s="3">
        <v>200</v>
      </c>
      <c r="B1168" s="3">
        <v>64</v>
      </c>
      <c r="C1168" s="3" t="str">
        <f t="shared" si="18"/>
        <v>Old</v>
      </c>
      <c r="D1168" t="s">
        <v>5</v>
      </c>
      <c r="E1168" t="s">
        <v>0</v>
      </c>
      <c r="F1168" s="1">
        <v>45265</v>
      </c>
      <c r="G1168" s="10">
        <v>99924.01</v>
      </c>
      <c r="H1168">
        <v>16</v>
      </c>
    </row>
    <row r="1169" spans="1:8" x14ac:dyDescent="0.5">
      <c r="A1169" s="3">
        <v>322</v>
      </c>
      <c r="B1169" s="3">
        <v>59</v>
      </c>
      <c r="C1169" s="3" t="str">
        <f t="shared" si="18"/>
        <v>Old</v>
      </c>
      <c r="D1169" t="s">
        <v>5</v>
      </c>
      <c r="E1169" t="s">
        <v>0</v>
      </c>
      <c r="F1169" s="1">
        <v>45098</v>
      </c>
      <c r="G1169" s="10">
        <v>53674.22</v>
      </c>
      <c r="H1169">
        <v>2</v>
      </c>
    </row>
    <row r="1170" spans="1:8" x14ac:dyDescent="0.5">
      <c r="A1170" s="3">
        <v>78</v>
      </c>
      <c r="B1170" s="3">
        <v>96</v>
      </c>
      <c r="C1170" s="3" t="str">
        <f t="shared" si="18"/>
        <v>Old</v>
      </c>
      <c r="D1170" t="s">
        <v>5</v>
      </c>
      <c r="E1170" t="s">
        <v>1</v>
      </c>
      <c r="F1170" s="1">
        <v>45270</v>
      </c>
      <c r="G1170" s="10">
        <v>39797.25</v>
      </c>
      <c r="H1170">
        <v>18</v>
      </c>
    </row>
    <row r="1171" spans="1:8" x14ac:dyDescent="0.5">
      <c r="A1171" s="3">
        <v>438</v>
      </c>
      <c r="B1171" s="3">
        <v>89</v>
      </c>
      <c r="C1171" s="3" t="str">
        <f t="shared" si="18"/>
        <v>Old</v>
      </c>
      <c r="D1171" t="s">
        <v>5</v>
      </c>
      <c r="E1171" t="s">
        <v>0</v>
      </c>
      <c r="F1171" s="1">
        <v>44964</v>
      </c>
      <c r="G1171" s="10">
        <v>89930.95</v>
      </c>
      <c r="H1171">
        <v>18</v>
      </c>
    </row>
    <row r="1172" spans="1:8" x14ac:dyDescent="0.5">
      <c r="A1172" s="3">
        <v>103</v>
      </c>
      <c r="B1172" s="3">
        <v>70</v>
      </c>
      <c r="C1172" s="3" t="str">
        <f t="shared" si="18"/>
        <v>Old</v>
      </c>
      <c r="D1172" t="s">
        <v>5</v>
      </c>
      <c r="E1172" t="s">
        <v>6</v>
      </c>
      <c r="F1172" s="1">
        <v>45261</v>
      </c>
      <c r="G1172" s="10">
        <v>23065.51</v>
      </c>
      <c r="H1172">
        <v>28</v>
      </c>
    </row>
    <row r="1173" spans="1:8" x14ac:dyDescent="0.5">
      <c r="A1173" s="3">
        <v>197</v>
      </c>
      <c r="B1173" s="3">
        <v>89</v>
      </c>
      <c r="C1173" s="3" t="str">
        <f t="shared" si="18"/>
        <v>Old</v>
      </c>
      <c r="D1173" t="s">
        <v>3</v>
      </c>
      <c r="E1173" t="s">
        <v>2</v>
      </c>
      <c r="F1173" s="1">
        <v>45229</v>
      </c>
      <c r="G1173" s="10">
        <v>58567.86</v>
      </c>
      <c r="H1173">
        <v>2</v>
      </c>
    </row>
    <row r="1174" spans="1:8" x14ac:dyDescent="0.5">
      <c r="A1174" s="3">
        <v>58</v>
      </c>
      <c r="B1174" s="3">
        <v>84</v>
      </c>
      <c r="C1174" s="3" t="str">
        <f t="shared" si="18"/>
        <v>Old</v>
      </c>
      <c r="D1174" t="s">
        <v>3</v>
      </c>
      <c r="E1174" t="s">
        <v>1</v>
      </c>
      <c r="F1174" s="1">
        <v>45158</v>
      </c>
      <c r="G1174" s="10">
        <v>57272.86</v>
      </c>
      <c r="H1174">
        <v>26</v>
      </c>
    </row>
    <row r="1175" spans="1:8" x14ac:dyDescent="0.5">
      <c r="A1175" s="3">
        <v>209</v>
      </c>
      <c r="B1175" s="3">
        <v>27</v>
      </c>
      <c r="C1175" s="3" t="str">
        <f t="shared" si="18"/>
        <v>Young</v>
      </c>
      <c r="D1175" t="s">
        <v>5</v>
      </c>
      <c r="E1175" t="s">
        <v>4</v>
      </c>
      <c r="F1175" s="1">
        <v>45178</v>
      </c>
      <c r="G1175" s="10">
        <v>54214.75</v>
      </c>
      <c r="H1175">
        <v>12</v>
      </c>
    </row>
    <row r="1176" spans="1:8" x14ac:dyDescent="0.5">
      <c r="A1176" s="3">
        <v>37</v>
      </c>
      <c r="B1176" s="3">
        <v>78</v>
      </c>
      <c r="C1176" s="3" t="str">
        <f t="shared" si="18"/>
        <v>Old</v>
      </c>
      <c r="D1176" t="s">
        <v>3</v>
      </c>
      <c r="E1176" t="s">
        <v>2</v>
      </c>
      <c r="F1176" s="1">
        <v>44999</v>
      </c>
      <c r="G1176" s="10">
        <v>68203.039999999994</v>
      </c>
      <c r="H1176">
        <v>14</v>
      </c>
    </row>
    <row r="1177" spans="1:8" x14ac:dyDescent="0.5">
      <c r="A1177" s="3">
        <v>76</v>
      </c>
      <c r="B1177" s="3">
        <v>92</v>
      </c>
      <c r="C1177" s="3" t="str">
        <f t="shared" si="18"/>
        <v>Old</v>
      </c>
      <c r="D1177" t="s">
        <v>5</v>
      </c>
      <c r="E1177" t="s">
        <v>4</v>
      </c>
      <c r="F1177" s="1">
        <v>45245</v>
      </c>
      <c r="G1177" s="10">
        <v>27177.74</v>
      </c>
      <c r="H1177">
        <v>19</v>
      </c>
    </row>
    <row r="1178" spans="1:8" x14ac:dyDescent="0.5">
      <c r="A1178" s="3">
        <v>212</v>
      </c>
      <c r="B1178" s="3">
        <v>47</v>
      </c>
      <c r="C1178" s="3" t="str">
        <f t="shared" si="18"/>
        <v>Middle Age</v>
      </c>
      <c r="D1178" t="s">
        <v>5</v>
      </c>
      <c r="E1178" t="s">
        <v>0</v>
      </c>
      <c r="F1178" s="1">
        <v>45076</v>
      </c>
      <c r="G1178" s="10">
        <v>64771.35</v>
      </c>
      <c r="H1178">
        <v>10</v>
      </c>
    </row>
    <row r="1179" spans="1:8" x14ac:dyDescent="0.5">
      <c r="A1179" s="3">
        <v>201</v>
      </c>
      <c r="B1179" s="3">
        <v>56</v>
      </c>
      <c r="C1179" s="3" t="str">
        <f t="shared" si="18"/>
        <v>Old</v>
      </c>
      <c r="D1179" t="s">
        <v>5</v>
      </c>
      <c r="E1179" t="s">
        <v>1</v>
      </c>
      <c r="F1179" s="1">
        <v>45001</v>
      </c>
      <c r="G1179" s="10">
        <v>21339.09</v>
      </c>
      <c r="H1179">
        <v>29</v>
      </c>
    </row>
    <row r="1180" spans="1:8" x14ac:dyDescent="0.5">
      <c r="A1180" s="3">
        <v>320</v>
      </c>
      <c r="B1180" s="3">
        <v>57</v>
      </c>
      <c r="C1180" s="3" t="str">
        <f t="shared" si="18"/>
        <v>Old</v>
      </c>
      <c r="D1180" t="s">
        <v>5</v>
      </c>
      <c r="E1180" t="s">
        <v>2</v>
      </c>
      <c r="F1180" s="1">
        <v>45015</v>
      </c>
      <c r="G1180" s="10">
        <v>86799.67</v>
      </c>
      <c r="H1180">
        <v>25</v>
      </c>
    </row>
    <row r="1181" spans="1:8" x14ac:dyDescent="0.5">
      <c r="A1181" s="3">
        <v>355</v>
      </c>
      <c r="B1181" s="3">
        <v>1</v>
      </c>
      <c r="C1181" s="3" t="str">
        <f t="shared" si="18"/>
        <v>Young</v>
      </c>
      <c r="D1181" t="s">
        <v>3</v>
      </c>
      <c r="E1181" t="s">
        <v>1</v>
      </c>
      <c r="F1181" s="1">
        <v>45114</v>
      </c>
      <c r="G1181" s="10">
        <v>232.99</v>
      </c>
      <c r="H1181">
        <v>3</v>
      </c>
    </row>
    <row r="1182" spans="1:8" x14ac:dyDescent="0.5">
      <c r="A1182" s="3">
        <v>336</v>
      </c>
      <c r="B1182" s="3">
        <v>78</v>
      </c>
      <c r="C1182" s="3" t="str">
        <f t="shared" si="18"/>
        <v>Old</v>
      </c>
      <c r="D1182" t="s">
        <v>3</v>
      </c>
      <c r="E1182" t="s">
        <v>4</v>
      </c>
      <c r="F1182" s="1">
        <v>45105</v>
      </c>
      <c r="G1182" s="10">
        <v>71409.7</v>
      </c>
      <c r="H1182">
        <v>27</v>
      </c>
    </row>
    <row r="1183" spans="1:8" x14ac:dyDescent="0.5">
      <c r="A1183" s="3">
        <v>445</v>
      </c>
      <c r="B1183" s="3">
        <v>44</v>
      </c>
      <c r="C1183" s="3" t="str">
        <f t="shared" si="18"/>
        <v>Middle Age</v>
      </c>
      <c r="D1183" t="s">
        <v>5</v>
      </c>
      <c r="E1183" t="s">
        <v>6</v>
      </c>
      <c r="F1183" s="1">
        <v>45009</v>
      </c>
      <c r="G1183" s="10">
        <v>33670.879999999997</v>
      </c>
      <c r="H1183">
        <v>11</v>
      </c>
    </row>
    <row r="1184" spans="1:8" x14ac:dyDescent="0.5">
      <c r="A1184" s="3">
        <v>105</v>
      </c>
      <c r="B1184" s="3">
        <v>21</v>
      </c>
      <c r="C1184" s="3" t="str">
        <f t="shared" si="18"/>
        <v>Young</v>
      </c>
      <c r="D1184" t="s">
        <v>3</v>
      </c>
      <c r="E1184" t="s">
        <v>1</v>
      </c>
      <c r="F1184" s="1">
        <v>45041</v>
      </c>
      <c r="G1184" s="10">
        <v>81705.47</v>
      </c>
      <c r="H1184">
        <v>0</v>
      </c>
    </row>
    <row r="1185" spans="1:8" x14ac:dyDescent="0.5">
      <c r="A1185" s="3">
        <v>411</v>
      </c>
      <c r="B1185" s="3">
        <v>25</v>
      </c>
      <c r="C1185" s="3" t="str">
        <f t="shared" si="18"/>
        <v>Young</v>
      </c>
      <c r="D1185" t="s">
        <v>5</v>
      </c>
      <c r="E1185" t="s">
        <v>2</v>
      </c>
      <c r="F1185" s="1">
        <v>45322</v>
      </c>
      <c r="G1185" s="10">
        <v>8315.17</v>
      </c>
      <c r="H1185">
        <v>5</v>
      </c>
    </row>
    <row r="1186" spans="1:8" x14ac:dyDescent="0.5">
      <c r="A1186" s="3">
        <v>154</v>
      </c>
      <c r="B1186" s="3">
        <v>74</v>
      </c>
      <c r="C1186" s="3" t="str">
        <f t="shared" si="18"/>
        <v>Old</v>
      </c>
      <c r="D1186" t="s">
        <v>3</v>
      </c>
      <c r="E1186" t="s">
        <v>2</v>
      </c>
      <c r="F1186" s="1">
        <v>44935</v>
      </c>
      <c r="G1186" s="10">
        <v>6646.66</v>
      </c>
      <c r="H1186">
        <v>23</v>
      </c>
    </row>
    <row r="1187" spans="1:8" x14ac:dyDescent="0.5">
      <c r="A1187" s="3">
        <v>477</v>
      </c>
      <c r="B1187" s="3">
        <v>20</v>
      </c>
      <c r="C1187" s="3" t="str">
        <f t="shared" si="18"/>
        <v>Young</v>
      </c>
      <c r="D1187" t="s">
        <v>5</v>
      </c>
      <c r="E1187" t="s">
        <v>6</v>
      </c>
      <c r="F1187" s="1">
        <v>45023</v>
      </c>
      <c r="G1187" s="10">
        <v>12901.55</v>
      </c>
      <c r="H1187">
        <v>2</v>
      </c>
    </row>
    <row r="1188" spans="1:8" x14ac:dyDescent="0.5">
      <c r="A1188" s="3">
        <v>131</v>
      </c>
      <c r="B1188" s="3">
        <v>20</v>
      </c>
      <c r="C1188" s="3" t="str">
        <f t="shared" si="18"/>
        <v>Young</v>
      </c>
      <c r="D1188" t="s">
        <v>3</v>
      </c>
      <c r="E1188" t="s">
        <v>6</v>
      </c>
      <c r="F1188" s="1">
        <v>45241</v>
      </c>
      <c r="G1188" s="10">
        <v>51072.34</v>
      </c>
      <c r="H1188">
        <v>9</v>
      </c>
    </row>
    <row r="1189" spans="1:8" x14ac:dyDescent="0.5">
      <c r="A1189" s="3">
        <v>162</v>
      </c>
      <c r="B1189" s="3">
        <v>63</v>
      </c>
      <c r="C1189" s="3" t="str">
        <f t="shared" si="18"/>
        <v>Old</v>
      </c>
      <c r="D1189" t="s">
        <v>3</v>
      </c>
      <c r="E1189" t="s">
        <v>4</v>
      </c>
      <c r="F1189" s="1">
        <v>45273</v>
      </c>
      <c r="G1189" s="10">
        <v>71336.759999999995</v>
      </c>
      <c r="H1189">
        <v>10</v>
      </c>
    </row>
    <row r="1190" spans="1:8" x14ac:dyDescent="0.5">
      <c r="A1190" s="3">
        <v>106</v>
      </c>
      <c r="B1190" s="3">
        <v>20</v>
      </c>
      <c r="C1190" s="3" t="str">
        <f t="shared" si="18"/>
        <v>Young</v>
      </c>
      <c r="D1190" t="s">
        <v>3</v>
      </c>
      <c r="E1190" t="s">
        <v>6</v>
      </c>
      <c r="F1190" s="1">
        <v>44997</v>
      </c>
      <c r="G1190" s="10">
        <v>35753.919999999998</v>
      </c>
      <c r="H1190">
        <v>25</v>
      </c>
    </row>
    <row r="1191" spans="1:8" x14ac:dyDescent="0.5">
      <c r="A1191" s="3">
        <v>108</v>
      </c>
      <c r="B1191" s="3">
        <v>103</v>
      </c>
      <c r="C1191" s="3" t="str">
        <f t="shared" si="18"/>
        <v>Old</v>
      </c>
      <c r="D1191" t="s">
        <v>3</v>
      </c>
      <c r="E1191" t="s">
        <v>1</v>
      </c>
      <c r="F1191" s="1">
        <v>45253</v>
      </c>
      <c r="G1191" s="10">
        <v>13534.55</v>
      </c>
      <c r="H1191">
        <v>28</v>
      </c>
    </row>
    <row r="1192" spans="1:8" x14ac:dyDescent="0.5">
      <c r="A1192" s="3">
        <v>223</v>
      </c>
      <c r="B1192" s="3">
        <v>41</v>
      </c>
      <c r="C1192" s="3" t="str">
        <f t="shared" si="18"/>
        <v>Middle Age</v>
      </c>
      <c r="D1192" t="s">
        <v>3</v>
      </c>
      <c r="E1192" t="s">
        <v>4</v>
      </c>
      <c r="F1192" s="1">
        <v>45013</v>
      </c>
      <c r="G1192" s="10">
        <v>65836.179999999993</v>
      </c>
      <c r="H1192">
        <v>2</v>
      </c>
    </row>
    <row r="1193" spans="1:8" x14ac:dyDescent="0.5">
      <c r="A1193" s="3">
        <v>320</v>
      </c>
      <c r="B1193" s="3">
        <v>101</v>
      </c>
      <c r="C1193" s="3" t="str">
        <f t="shared" si="18"/>
        <v>Old</v>
      </c>
      <c r="D1193" t="s">
        <v>3</v>
      </c>
      <c r="E1193" t="s">
        <v>0</v>
      </c>
      <c r="F1193" s="1">
        <v>45030</v>
      </c>
      <c r="G1193" s="10">
        <v>32458.75</v>
      </c>
      <c r="H1193">
        <v>20</v>
      </c>
    </row>
    <row r="1194" spans="1:8" x14ac:dyDescent="0.5">
      <c r="A1194" s="3">
        <v>343</v>
      </c>
      <c r="B1194" s="3">
        <v>20</v>
      </c>
      <c r="C1194" s="3" t="str">
        <f t="shared" si="18"/>
        <v>Young</v>
      </c>
      <c r="D1194" t="s">
        <v>3</v>
      </c>
      <c r="E1194" t="s">
        <v>4</v>
      </c>
      <c r="F1194" s="1">
        <v>45195</v>
      </c>
      <c r="G1194" s="10">
        <v>54145.72</v>
      </c>
      <c r="H1194">
        <v>6</v>
      </c>
    </row>
    <row r="1195" spans="1:8" x14ac:dyDescent="0.5">
      <c r="A1195" s="3">
        <v>26</v>
      </c>
      <c r="B1195" s="3">
        <v>77</v>
      </c>
      <c r="C1195" s="3" t="str">
        <f t="shared" si="18"/>
        <v>Old</v>
      </c>
      <c r="D1195" t="s">
        <v>5</v>
      </c>
      <c r="E1195" t="s">
        <v>1</v>
      </c>
      <c r="F1195" s="1">
        <v>45187</v>
      </c>
      <c r="G1195" s="10">
        <v>83491.199999999997</v>
      </c>
      <c r="H1195">
        <v>12</v>
      </c>
    </row>
    <row r="1196" spans="1:8" x14ac:dyDescent="0.5">
      <c r="A1196" s="3">
        <v>245</v>
      </c>
      <c r="B1196" s="3">
        <v>46</v>
      </c>
      <c r="C1196" s="3" t="str">
        <f t="shared" si="18"/>
        <v>Middle Age</v>
      </c>
      <c r="D1196" t="s">
        <v>3</v>
      </c>
      <c r="E1196" t="s">
        <v>4</v>
      </c>
      <c r="F1196" s="1">
        <v>45152</v>
      </c>
      <c r="G1196" s="10">
        <v>20380.03</v>
      </c>
      <c r="H1196">
        <v>25</v>
      </c>
    </row>
    <row r="1197" spans="1:8" x14ac:dyDescent="0.5">
      <c r="A1197" s="3">
        <v>343</v>
      </c>
      <c r="B1197" s="3">
        <v>89</v>
      </c>
      <c r="C1197" s="3" t="str">
        <f t="shared" si="18"/>
        <v>Old</v>
      </c>
      <c r="D1197" t="s">
        <v>3</v>
      </c>
      <c r="E1197" t="s">
        <v>2</v>
      </c>
      <c r="F1197" s="1">
        <v>45056</v>
      </c>
      <c r="G1197" s="10">
        <v>48899.39</v>
      </c>
      <c r="H1197">
        <v>29</v>
      </c>
    </row>
    <row r="1198" spans="1:8" x14ac:dyDescent="0.5">
      <c r="A1198" s="3">
        <v>236</v>
      </c>
      <c r="B1198" s="3">
        <v>35</v>
      </c>
      <c r="C1198" s="3" t="str">
        <f t="shared" si="18"/>
        <v>Middle Age</v>
      </c>
      <c r="D1198" t="s">
        <v>5</v>
      </c>
      <c r="E1198" t="s">
        <v>0</v>
      </c>
      <c r="F1198" s="1">
        <v>45080</v>
      </c>
      <c r="G1198" s="10">
        <v>76951.42</v>
      </c>
      <c r="H1198">
        <v>27</v>
      </c>
    </row>
    <row r="1199" spans="1:8" x14ac:dyDescent="0.5">
      <c r="A1199" s="3">
        <v>392</v>
      </c>
      <c r="B1199" s="3">
        <v>34</v>
      </c>
      <c r="C1199" s="3" t="str">
        <f t="shared" si="18"/>
        <v>Middle Age</v>
      </c>
      <c r="D1199" t="s">
        <v>5</v>
      </c>
      <c r="E1199" t="s">
        <v>6</v>
      </c>
      <c r="F1199" s="1">
        <v>45154</v>
      </c>
      <c r="G1199" s="10">
        <v>45165.66</v>
      </c>
      <c r="H1199">
        <v>1</v>
      </c>
    </row>
    <row r="1200" spans="1:8" x14ac:dyDescent="0.5">
      <c r="A1200" s="3">
        <v>25</v>
      </c>
      <c r="B1200" s="3">
        <v>64</v>
      </c>
      <c r="C1200" s="3" t="str">
        <f t="shared" si="18"/>
        <v>Old</v>
      </c>
      <c r="D1200" t="s">
        <v>5</v>
      </c>
      <c r="E1200" t="s">
        <v>0</v>
      </c>
      <c r="F1200" s="1">
        <v>45006</v>
      </c>
      <c r="G1200" s="10">
        <v>65373.67</v>
      </c>
      <c r="H1200">
        <v>26</v>
      </c>
    </row>
    <row r="1201" spans="1:8" x14ac:dyDescent="0.5">
      <c r="A1201" s="3">
        <v>224</v>
      </c>
      <c r="B1201" s="3">
        <v>82</v>
      </c>
      <c r="C1201" s="3" t="str">
        <f t="shared" si="18"/>
        <v>Old</v>
      </c>
      <c r="D1201" t="s">
        <v>5</v>
      </c>
      <c r="E1201" t="s">
        <v>2</v>
      </c>
      <c r="F1201" s="1">
        <v>44950</v>
      </c>
      <c r="G1201" s="10">
        <v>84036.81</v>
      </c>
      <c r="H1201">
        <v>7</v>
      </c>
    </row>
    <row r="1202" spans="1:8" x14ac:dyDescent="0.5">
      <c r="A1202" s="3">
        <v>75</v>
      </c>
      <c r="B1202" s="3">
        <v>104</v>
      </c>
      <c r="C1202" s="3" t="str">
        <f t="shared" si="18"/>
        <v>Old</v>
      </c>
      <c r="D1202" t="s">
        <v>5</v>
      </c>
      <c r="E1202" t="s">
        <v>1</v>
      </c>
      <c r="F1202" s="1">
        <v>45148</v>
      </c>
      <c r="G1202" s="10">
        <v>44226.22</v>
      </c>
      <c r="H1202">
        <v>2</v>
      </c>
    </row>
    <row r="1203" spans="1:8" x14ac:dyDescent="0.5">
      <c r="A1203" s="3">
        <v>464</v>
      </c>
      <c r="B1203" s="3">
        <v>20</v>
      </c>
      <c r="C1203" s="3" t="str">
        <f t="shared" si="18"/>
        <v>Young</v>
      </c>
      <c r="D1203" t="s">
        <v>3</v>
      </c>
      <c r="E1203" t="s">
        <v>1</v>
      </c>
      <c r="F1203" s="1">
        <v>45172</v>
      </c>
      <c r="G1203" s="10">
        <v>92077.78</v>
      </c>
      <c r="H1203">
        <v>20</v>
      </c>
    </row>
    <row r="1204" spans="1:8" x14ac:dyDescent="0.5">
      <c r="A1204" s="3">
        <v>59</v>
      </c>
      <c r="B1204" s="3">
        <v>27</v>
      </c>
      <c r="C1204" s="3" t="str">
        <f t="shared" si="18"/>
        <v>Young</v>
      </c>
      <c r="D1204" t="s">
        <v>3</v>
      </c>
      <c r="E1204" t="s">
        <v>0</v>
      </c>
      <c r="F1204" s="1">
        <v>44928</v>
      </c>
      <c r="G1204" s="10">
        <v>62050.75</v>
      </c>
      <c r="H1204">
        <v>2</v>
      </c>
    </row>
    <row r="1205" spans="1:8" x14ac:dyDescent="0.5">
      <c r="A1205" s="3">
        <v>240</v>
      </c>
      <c r="B1205" s="3">
        <v>41</v>
      </c>
      <c r="C1205" s="3" t="str">
        <f t="shared" si="18"/>
        <v>Middle Age</v>
      </c>
      <c r="D1205" t="s">
        <v>3</v>
      </c>
      <c r="E1205" t="s">
        <v>1</v>
      </c>
      <c r="F1205" s="1">
        <v>45193</v>
      </c>
      <c r="G1205" s="10">
        <v>83401.91</v>
      </c>
      <c r="H1205">
        <v>27</v>
      </c>
    </row>
    <row r="1206" spans="1:8" x14ac:dyDescent="0.5">
      <c r="A1206" s="3">
        <v>32</v>
      </c>
      <c r="B1206" s="3">
        <v>92</v>
      </c>
      <c r="C1206" s="3" t="str">
        <f t="shared" si="18"/>
        <v>Old</v>
      </c>
      <c r="D1206" t="s">
        <v>3</v>
      </c>
      <c r="E1206" t="s">
        <v>2</v>
      </c>
      <c r="F1206" s="1">
        <v>45285</v>
      </c>
      <c r="G1206" s="10">
        <v>10492.46</v>
      </c>
      <c r="H1206">
        <v>24</v>
      </c>
    </row>
    <row r="1207" spans="1:8" x14ac:dyDescent="0.5">
      <c r="A1207" s="3">
        <v>383</v>
      </c>
      <c r="B1207" s="3">
        <v>87</v>
      </c>
      <c r="C1207" s="3" t="str">
        <f t="shared" si="18"/>
        <v>Old</v>
      </c>
      <c r="D1207" t="s">
        <v>5</v>
      </c>
      <c r="E1207" t="s">
        <v>1</v>
      </c>
      <c r="F1207" s="1">
        <v>45171</v>
      </c>
      <c r="G1207" s="10">
        <v>50886.18</v>
      </c>
      <c r="H1207">
        <v>16</v>
      </c>
    </row>
    <row r="1208" spans="1:8" x14ac:dyDescent="0.5">
      <c r="A1208" s="3">
        <v>154</v>
      </c>
      <c r="B1208" s="3">
        <v>94</v>
      </c>
      <c r="C1208" s="3" t="str">
        <f t="shared" si="18"/>
        <v>Old</v>
      </c>
      <c r="D1208" t="s">
        <v>3</v>
      </c>
      <c r="E1208" t="s">
        <v>6</v>
      </c>
      <c r="F1208" s="1">
        <v>45136</v>
      </c>
      <c r="G1208" s="10">
        <v>50695.22</v>
      </c>
      <c r="H1208">
        <v>7</v>
      </c>
    </row>
    <row r="1209" spans="1:8" x14ac:dyDescent="0.5">
      <c r="A1209" s="3">
        <v>87</v>
      </c>
      <c r="B1209" s="3">
        <v>51</v>
      </c>
      <c r="C1209" s="3" t="str">
        <f t="shared" si="18"/>
        <v>Middle Age</v>
      </c>
      <c r="D1209" t="s">
        <v>5</v>
      </c>
      <c r="E1209" t="s">
        <v>6</v>
      </c>
      <c r="F1209" s="1">
        <v>45093</v>
      </c>
      <c r="G1209" s="10">
        <v>82931.27</v>
      </c>
      <c r="H1209">
        <v>15</v>
      </c>
    </row>
    <row r="1210" spans="1:8" x14ac:dyDescent="0.5">
      <c r="A1210" s="3">
        <v>293</v>
      </c>
      <c r="B1210" s="3">
        <v>1</v>
      </c>
      <c r="C1210" s="3" t="str">
        <f t="shared" si="18"/>
        <v>Young</v>
      </c>
      <c r="D1210" t="s">
        <v>5</v>
      </c>
      <c r="E1210" t="s">
        <v>2</v>
      </c>
      <c r="F1210" s="1">
        <v>45211</v>
      </c>
      <c r="G1210" s="10">
        <v>44414.07</v>
      </c>
      <c r="H1210">
        <v>19</v>
      </c>
    </row>
    <row r="1211" spans="1:8" x14ac:dyDescent="0.5">
      <c r="A1211" s="3">
        <v>343</v>
      </c>
      <c r="B1211" s="3">
        <v>59</v>
      </c>
      <c r="C1211" s="3" t="str">
        <f t="shared" si="18"/>
        <v>Old</v>
      </c>
      <c r="D1211" t="s">
        <v>3</v>
      </c>
      <c r="E1211" t="s">
        <v>6</v>
      </c>
      <c r="F1211" s="1">
        <v>44994</v>
      </c>
      <c r="G1211" s="10">
        <v>96778.33</v>
      </c>
      <c r="H1211">
        <v>2</v>
      </c>
    </row>
    <row r="1212" spans="1:8" x14ac:dyDescent="0.5">
      <c r="A1212" s="3">
        <v>96</v>
      </c>
      <c r="B1212" s="3">
        <v>64</v>
      </c>
      <c r="C1212" s="3" t="str">
        <f t="shared" si="18"/>
        <v>Old</v>
      </c>
      <c r="D1212" t="s">
        <v>3</v>
      </c>
      <c r="E1212" t="s">
        <v>6</v>
      </c>
      <c r="F1212" s="1">
        <v>45140</v>
      </c>
      <c r="G1212" s="10">
        <v>5211.1000000000004</v>
      </c>
      <c r="H1212">
        <v>6</v>
      </c>
    </row>
    <row r="1213" spans="1:8" x14ac:dyDescent="0.5">
      <c r="A1213" s="3">
        <v>95</v>
      </c>
      <c r="B1213" s="3">
        <v>20</v>
      </c>
      <c r="C1213" s="3" t="str">
        <f t="shared" si="18"/>
        <v>Young</v>
      </c>
      <c r="D1213" t="s">
        <v>5</v>
      </c>
      <c r="E1213" t="s">
        <v>6</v>
      </c>
      <c r="F1213" s="1">
        <v>45295</v>
      </c>
      <c r="G1213" s="10">
        <v>92303.93</v>
      </c>
      <c r="H1213">
        <v>5</v>
      </c>
    </row>
    <row r="1214" spans="1:8" x14ac:dyDescent="0.5">
      <c r="A1214" s="3">
        <v>453</v>
      </c>
      <c r="B1214" s="3">
        <v>64</v>
      </c>
      <c r="C1214" s="3" t="str">
        <f t="shared" si="18"/>
        <v>Old</v>
      </c>
      <c r="D1214" t="s">
        <v>5</v>
      </c>
      <c r="E1214" t="s">
        <v>6</v>
      </c>
      <c r="F1214" s="1">
        <v>45123</v>
      </c>
      <c r="G1214" s="10">
        <v>92705.72</v>
      </c>
      <c r="H1214">
        <v>11</v>
      </c>
    </row>
    <row r="1215" spans="1:8" x14ac:dyDescent="0.5">
      <c r="A1215" s="3">
        <v>454</v>
      </c>
      <c r="B1215" s="3">
        <v>1</v>
      </c>
      <c r="C1215" s="3" t="str">
        <f t="shared" si="18"/>
        <v>Young</v>
      </c>
      <c r="D1215" t="s">
        <v>5</v>
      </c>
      <c r="E1215" t="s">
        <v>0</v>
      </c>
      <c r="F1215" s="1">
        <v>45223</v>
      </c>
      <c r="G1215" s="10">
        <v>78868.34</v>
      </c>
      <c r="H1215">
        <v>13</v>
      </c>
    </row>
    <row r="1216" spans="1:8" x14ac:dyDescent="0.5">
      <c r="A1216" s="3">
        <v>184</v>
      </c>
      <c r="B1216" s="3">
        <v>20</v>
      </c>
      <c r="C1216" s="3" t="str">
        <f t="shared" si="18"/>
        <v>Young</v>
      </c>
      <c r="D1216" t="s">
        <v>3</v>
      </c>
      <c r="E1216" t="s">
        <v>0</v>
      </c>
      <c r="F1216" s="1">
        <v>45127</v>
      </c>
      <c r="G1216" s="10">
        <v>15941.97</v>
      </c>
      <c r="H1216">
        <v>5</v>
      </c>
    </row>
    <row r="1217" spans="1:8" x14ac:dyDescent="0.5">
      <c r="A1217" s="3">
        <v>157</v>
      </c>
      <c r="B1217" s="3">
        <v>95</v>
      </c>
      <c r="C1217" s="3" t="str">
        <f t="shared" si="18"/>
        <v>Old</v>
      </c>
      <c r="D1217" t="s">
        <v>5</v>
      </c>
      <c r="E1217" t="s">
        <v>0</v>
      </c>
      <c r="F1217" s="1">
        <v>45236</v>
      </c>
      <c r="G1217" s="10">
        <v>83041.399999999994</v>
      </c>
      <c r="H1217">
        <v>22</v>
      </c>
    </row>
    <row r="1218" spans="1:8" x14ac:dyDescent="0.5">
      <c r="A1218" s="3">
        <v>37</v>
      </c>
      <c r="B1218" s="3">
        <v>98</v>
      </c>
      <c r="C1218" s="3" t="str">
        <f t="shared" ref="C1218:C1281" si="19">IF(B1218&lt;=30,"Young", IF(B1218&lt;=55,"Middle Age",IF(B1218&gt;55,"Old","Not found")))</f>
        <v>Old</v>
      </c>
      <c r="D1218" t="s">
        <v>3</v>
      </c>
      <c r="E1218" t="s">
        <v>4</v>
      </c>
      <c r="F1218" s="1">
        <v>45036</v>
      </c>
      <c r="G1218" s="10">
        <v>52016.71</v>
      </c>
      <c r="H1218">
        <v>15</v>
      </c>
    </row>
    <row r="1219" spans="1:8" x14ac:dyDescent="0.5">
      <c r="A1219" s="3">
        <v>272</v>
      </c>
      <c r="B1219" s="3">
        <v>1</v>
      </c>
      <c r="C1219" s="3" t="str">
        <f t="shared" si="19"/>
        <v>Young</v>
      </c>
      <c r="D1219" t="s">
        <v>5</v>
      </c>
      <c r="E1219" t="s">
        <v>1</v>
      </c>
      <c r="F1219" s="1">
        <v>45143</v>
      </c>
      <c r="G1219" s="10">
        <v>53051.91</v>
      </c>
      <c r="H1219">
        <v>8</v>
      </c>
    </row>
    <row r="1220" spans="1:8" x14ac:dyDescent="0.5">
      <c r="A1220" s="3">
        <v>174</v>
      </c>
      <c r="B1220" s="3">
        <v>54</v>
      </c>
      <c r="C1220" s="3" t="str">
        <f t="shared" si="19"/>
        <v>Middle Age</v>
      </c>
      <c r="D1220" t="s">
        <v>5</v>
      </c>
      <c r="E1220" t="s">
        <v>1</v>
      </c>
      <c r="F1220" s="1">
        <v>45181</v>
      </c>
      <c r="G1220" s="10">
        <v>89898.19</v>
      </c>
      <c r="H1220">
        <v>5</v>
      </c>
    </row>
    <row r="1221" spans="1:8" x14ac:dyDescent="0.5">
      <c r="A1221" s="3">
        <v>22</v>
      </c>
      <c r="B1221" s="3">
        <v>77</v>
      </c>
      <c r="C1221" s="3" t="str">
        <f t="shared" si="19"/>
        <v>Old</v>
      </c>
      <c r="D1221" t="s">
        <v>3</v>
      </c>
      <c r="E1221" t="s">
        <v>2</v>
      </c>
      <c r="F1221" s="1">
        <v>45272</v>
      </c>
      <c r="G1221" s="10">
        <v>20447.02</v>
      </c>
      <c r="H1221">
        <v>18</v>
      </c>
    </row>
    <row r="1222" spans="1:8" x14ac:dyDescent="0.5">
      <c r="A1222" s="3">
        <v>259</v>
      </c>
      <c r="B1222" s="3">
        <v>20</v>
      </c>
      <c r="C1222" s="3" t="str">
        <f t="shared" si="19"/>
        <v>Young</v>
      </c>
      <c r="D1222" t="s">
        <v>3</v>
      </c>
      <c r="E1222" t="s">
        <v>6</v>
      </c>
      <c r="F1222" s="1">
        <v>45074</v>
      </c>
      <c r="G1222" s="10">
        <v>94685.98</v>
      </c>
      <c r="H1222">
        <v>21</v>
      </c>
    </row>
    <row r="1223" spans="1:8" x14ac:dyDescent="0.5">
      <c r="A1223" s="3">
        <v>150</v>
      </c>
      <c r="B1223" s="3">
        <v>19</v>
      </c>
      <c r="C1223" s="3" t="str">
        <f t="shared" si="19"/>
        <v>Young</v>
      </c>
      <c r="D1223" t="s">
        <v>3</v>
      </c>
      <c r="E1223" t="s">
        <v>1</v>
      </c>
      <c r="F1223" s="1">
        <v>45204</v>
      </c>
      <c r="G1223" s="10">
        <v>20152.48</v>
      </c>
      <c r="H1223">
        <v>0</v>
      </c>
    </row>
    <row r="1224" spans="1:8" x14ac:dyDescent="0.5">
      <c r="A1224" s="3">
        <v>30</v>
      </c>
      <c r="B1224" s="3">
        <v>19</v>
      </c>
      <c r="C1224" s="3" t="str">
        <f t="shared" si="19"/>
        <v>Young</v>
      </c>
      <c r="D1224" t="s">
        <v>3</v>
      </c>
      <c r="E1224" t="s">
        <v>0</v>
      </c>
      <c r="F1224" s="1">
        <v>45199</v>
      </c>
      <c r="G1224" s="10">
        <v>73422.63</v>
      </c>
      <c r="H1224">
        <v>21</v>
      </c>
    </row>
    <row r="1225" spans="1:8" x14ac:dyDescent="0.5">
      <c r="A1225" s="3">
        <v>367</v>
      </c>
      <c r="B1225" s="3">
        <v>19</v>
      </c>
      <c r="C1225" s="3" t="str">
        <f t="shared" si="19"/>
        <v>Young</v>
      </c>
      <c r="D1225" t="s">
        <v>5</v>
      </c>
      <c r="E1225" t="s">
        <v>6</v>
      </c>
      <c r="F1225" s="1">
        <v>45290</v>
      </c>
      <c r="G1225" s="10">
        <v>95092.4</v>
      </c>
      <c r="H1225">
        <v>23</v>
      </c>
    </row>
    <row r="1226" spans="1:8" x14ac:dyDescent="0.5">
      <c r="A1226" s="3">
        <v>150</v>
      </c>
      <c r="B1226" s="3">
        <v>103</v>
      </c>
      <c r="C1226" s="3" t="str">
        <f t="shared" si="19"/>
        <v>Old</v>
      </c>
      <c r="D1226" t="s">
        <v>5</v>
      </c>
      <c r="E1226" t="s">
        <v>1</v>
      </c>
      <c r="F1226" s="1">
        <v>44941</v>
      </c>
      <c r="G1226" s="10">
        <v>12451.69</v>
      </c>
      <c r="H1226">
        <v>19</v>
      </c>
    </row>
    <row r="1227" spans="1:8" x14ac:dyDescent="0.5">
      <c r="A1227" s="3">
        <v>317</v>
      </c>
      <c r="B1227" s="3">
        <v>19</v>
      </c>
      <c r="C1227" s="3" t="str">
        <f t="shared" si="19"/>
        <v>Young</v>
      </c>
      <c r="D1227" t="s">
        <v>3</v>
      </c>
      <c r="E1227" t="s">
        <v>6</v>
      </c>
      <c r="F1227" s="1">
        <v>45227</v>
      </c>
      <c r="G1227" s="10">
        <v>26915.9</v>
      </c>
      <c r="H1227">
        <v>8</v>
      </c>
    </row>
    <row r="1228" spans="1:8" x14ac:dyDescent="0.5">
      <c r="A1228" s="3">
        <v>302</v>
      </c>
      <c r="B1228" s="3">
        <v>19</v>
      </c>
      <c r="C1228" s="3" t="str">
        <f t="shared" si="19"/>
        <v>Young</v>
      </c>
      <c r="D1228" t="s">
        <v>3</v>
      </c>
      <c r="E1228" t="s">
        <v>0</v>
      </c>
      <c r="F1228" s="1">
        <v>45020</v>
      </c>
      <c r="G1228" s="10">
        <v>10019.18</v>
      </c>
      <c r="H1228">
        <v>20</v>
      </c>
    </row>
    <row r="1229" spans="1:8" x14ac:dyDescent="0.5">
      <c r="A1229" s="3">
        <v>328</v>
      </c>
      <c r="B1229" s="3">
        <v>38</v>
      </c>
      <c r="C1229" s="3" t="str">
        <f t="shared" si="19"/>
        <v>Middle Age</v>
      </c>
      <c r="D1229" t="s">
        <v>3</v>
      </c>
      <c r="E1229" t="s">
        <v>2</v>
      </c>
      <c r="F1229" s="1">
        <v>45287</v>
      </c>
      <c r="G1229" s="10">
        <v>74842.95</v>
      </c>
      <c r="H1229">
        <v>26</v>
      </c>
    </row>
    <row r="1230" spans="1:8" x14ac:dyDescent="0.5">
      <c r="A1230" s="3">
        <v>277</v>
      </c>
      <c r="B1230" s="3">
        <v>97</v>
      </c>
      <c r="C1230" s="3" t="str">
        <f t="shared" si="19"/>
        <v>Old</v>
      </c>
      <c r="D1230" t="s">
        <v>3</v>
      </c>
      <c r="E1230" t="s">
        <v>2</v>
      </c>
      <c r="F1230" s="1">
        <v>45298</v>
      </c>
      <c r="G1230" s="10">
        <v>97776.95</v>
      </c>
      <c r="H1230">
        <v>21</v>
      </c>
    </row>
    <row r="1231" spans="1:8" x14ac:dyDescent="0.5">
      <c r="A1231" s="3">
        <v>213</v>
      </c>
      <c r="B1231" s="3">
        <v>26</v>
      </c>
      <c r="C1231" s="3" t="str">
        <f t="shared" si="19"/>
        <v>Young</v>
      </c>
      <c r="D1231" t="s">
        <v>5</v>
      </c>
      <c r="E1231" t="s">
        <v>1</v>
      </c>
      <c r="F1231" s="1">
        <v>45010</v>
      </c>
      <c r="G1231" s="10">
        <v>80159.69</v>
      </c>
      <c r="H1231">
        <v>13</v>
      </c>
    </row>
    <row r="1232" spans="1:8" x14ac:dyDescent="0.5">
      <c r="A1232" s="3">
        <v>495</v>
      </c>
      <c r="B1232" s="3">
        <v>59</v>
      </c>
      <c r="C1232" s="3" t="str">
        <f t="shared" si="19"/>
        <v>Old</v>
      </c>
      <c r="D1232" t="s">
        <v>3</v>
      </c>
      <c r="E1232" t="s">
        <v>4</v>
      </c>
      <c r="F1232" s="1">
        <v>45081</v>
      </c>
      <c r="G1232" s="10">
        <v>6058.56</v>
      </c>
      <c r="H1232">
        <v>4</v>
      </c>
    </row>
    <row r="1233" spans="1:8" x14ac:dyDescent="0.5">
      <c r="A1233" s="3">
        <v>335</v>
      </c>
      <c r="B1233" s="3">
        <v>72</v>
      </c>
      <c r="C1233" s="3" t="str">
        <f t="shared" si="19"/>
        <v>Old</v>
      </c>
      <c r="D1233" t="s">
        <v>3</v>
      </c>
      <c r="E1233" t="s">
        <v>6</v>
      </c>
      <c r="F1233" s="1">
        <v>45117</v>
      </c>
      <c r="G1233" s="10">
        <v>51251.94</v>
      </c>
      <c r="H1233">
        <v>5</v>
      </c>
    </row>
    <row r="1234" spans="1:8" x14ac:dyDescent="0.5">
      <c r="A1234" s="3">
        <v>323</v>
      </c>
      <c r="B1234" s="3">
        <v>81</v>
      </c>
      <c r="C1234" s="3" t="str">
        <f t="shared" si="19"/>
        <v>Old</v>
      </c>
      <c r="D1234" t="s">
        <v>3</v>
      </c>
      <c r="E1234" t="s">
        <v>1</v>
      </c>
      <c r="F1234" s="1">
        <v>45235</v>
      </c>
      <c r="G1234" s="10">
        <v>65505.17</v>
      </c>
      <c r="H1234">
        <v>12</v>
      </c>
    </row>
    <row r="1235" spans="1:8" x14ac:dyDescent="0.5">
      <c r="A1235" s="3">
        <v>48</v>
      </c>
      <c r="B1235" s="3">
        <v>88</v>
      </c>
      <c r="C1235" s="3" t="str">
        <f t="shared" si="19"/>
        <v>Old</v>
      </c>
      <c r="D1235" t="s">
        <v>3</v>
      </c>
      <c r="E1235" t="s">
        <v>1</v>
      </c>
      <c r="F1235" s="1">
        <v>44983</v>
      </c>
      <c r="G1235" s="10">
        <v>94818.93</v>
      </c>
      <c r="H1235">
        <v>2</v>
      </c>
    </row>
    <row r="1236" spans="1:8" x14ac:dyDescent="0.5">
      <c r="A1236" s="3">
        <v>9</v>
      </c>
      <c r="B1236" s="3">
        <v>59</v>
      </c>
      <c r="C1236" s="3" t="str">
        <f t="shared" si="19"/>
        <v>Old</v>
      </c>
      <c r="D1236" t="s">
        <v>3</v>
      </c>
      <c r="E1236" t="s">
        <v>6</v>
      </c>
      <c r="F1236" s="1">
        <v>45182</v>
      </c>
      <c r="G1236" s="10">
        <v>79337.62</v>
      </c>
      <c r="H1236">
        <v>28</v>
      </c>
    </row>
    <row r="1237" spans="1:8" x14ac:dyDescent="0.5">
      <c r="A1237" s="3">
        <v>72</v>
      </c>
      <c r="B1237" s="3">
        <v>36</v>
      </c>
      <c r="C1237" s="3" t="str">
        <f t="shared" si="19"/>
        <v>Middle Age</v>
      </c>
      <c r="D1237" t="s">
        <v>3</v>
      </c>
      <c r="E1237" t="s">
        <v>2</v>
      </c>
      <c r="F1237" s="1">
        <v>45031</v>
      </c>
      <c r="G1237" s="10">
        <v>47694.83</v>
      </c>
      <c r="H1237">
        <v>6</v>
      </c>
    </row>
    <row r="1238" spans="1:8" x14ac:dyDescent="0.5">
      <c r="A1238" s="3">
        <v>23</v>
      </c>
      <c r="B1238" s="3">
        <v>64</v>
      </c>
      <c r="C1238" s="3" t="str">
        <f t="shared" si="19"/>
        <v>Old</v>
      </c>
      <c r="D1238" t="s">
        <v>3</v>
      </c>
      <c r="E1238" t="s">
        <v>4</v>
      </c>
      <c r="F1238" s="1">
        <v>45220</v>
      </c>
      <c r="G1238" s="10">
        <v>17682.64</v>
      </c>
      <c r="H1238">
        <v>29</v>
      </c>
    </row>
    <row r="1239" spans="1:8" x14ac:dyDescent="0.5">
      <c r="A1239" s="3">
        <v>167</v>
      </c>
      <c r="B1239" s="3">
        <v>19</v>
      </c>
      <c r="C1239" s="3" t="str">
        <f t="shared" si="19"/>
        <v>Young</v>
      </c>
      <c r="D1239" t="s">
        <v>3</v>
      </c>
      <c r="E1239" t="s">
        <v>4</v>
      </c>
      <c r="F1239" s="1">
        <v>45022</v>
      </c>
      <c r="G1239" s="10">
        <v>43438.92</v>
      </c>
      <c r="H1239">
        <v>2</v>
      </c>
    </row>
    <row r="1240" spans="1:8" x14ac:dyDescent="0.5">
      <c r="A1240" s="3">
        <v>270</v>
      </c>
      <c r="B1240" s="3">
        <v>48</v>
      </c>
      <c r="C1240" s="3" t="str">
        <f t="shared" si="19"/>
        <v>Middle Age</v>
      </c>
      <c r="D1240" t="s">
        <v>5</v>
      </c>
      <c r="E1240" t="s">
        <v>1</v>
      </c>
      <c r="F1240" s="1">
        <v>44971</v>
      </c>
      <c r="G1240" s="10">
        <v>97467.13</v>
      </c>
      <c r="H1240">
        <v>29</v>
      </c>
    </row>
    <row r="1241" spans="1:8" x14ac:dyDescent="0.5">
      <c r="A1241" s="3">
        <v>270</v>
      </c>
      <c r="B1241" s="3">
        <v>90</v>
      </c>
      <c r="C1241" s="3" t="str">
        <f t="shared" si="19"/>
        <v>Old</v>
      </c>
      <c r="D1241" t="s">
        <v>3</v>
      </c>
      <c r="E1241" t="s">
        <v>2</v>
      </c>
      <c r="F1241" s="1">
        <v>44970</v>
      </c>
      <c r="G1241" s="10">
        <v>17566.7</v>
      </c>
      <c r="H1241">
        <v>24</v>
      </c>
    </row>
    <row r="1242" spans="1:8" x14ac:dyDescent="0.5">
      <c r="A1242" s="3">
        <v>271</v>
      </c>
      <c r="B1242" s="3">
        <v>100</v>
      </c>
      <c r="C1242" s="3" t="str">
        <f t="shared" si="19"/>
        <v>Old</v>
      </c>
      <c r="D1242" t="s">
        <v>3</v>
      </c>
      <c r="E1242" t="s">
        <v>6</v>
      </c>
      <c r="F1242" s="1">
        <v>45016</v>
      </c>
      <c r="G1242" s="10">
        <v>55808.42</v>
      </c>
      <c r="H1242">
        <v>21</v>
      </c>
    </row>
    <row r="1243" spans="1:8" x14ac:dyDescent="0.5">
      <c r="A1243" s="3">
        <v>81</v>
      </c>
      <c r="B1243" s="3">
        <v>19</v>
      </c>
      <c r="C1243" s="3" t="str">
        <f t="shared" si="19"/>
        <v>Young</v>
      </c>
      <c r="D1243" t="s">
        <v>3</v>
      </c>
      <c r="E1243" t="s">
        <v>0</v>
      </c>
      <c r="F1243" s="1">
        <v>45240</v>
      </c>
      <c r="G1243" s="10">
        <v>71726.179999999993</v>
      </c>
      <c r="H1243">
        <v>10</v>
      </c>
    </row>
    <row r="1244" spans="1:8" x14ac:dyDescent="0.5">
      <c r="A1244" s="3">
        <v>7</v>
      </c>
      <c r="B1244" s="3">
        <v>76</v>
      </c>
      <c r="C1244" s="3" t="str">
        <f t="shared" si="19"/>
        <v>Old</v>
      </c>
      <c r="D1244" t="s">
        <v>3</v>
      </c>
      <c r="E1244" t="s">
        <v>2</v>
      </c>
      <c r="F1244" s="1">
        <v>45209</v>
      </c>
      <c r="G1244" s="10">
        <v>81788.210000000006</v>
      </c>
      <c r="H1244">
        <v>9</v>
      </c>
    </row>
    <row r="1245" spans="1:8" x14ac:dyDescent="0.5">
      <c r="A1245" s="3">
        <v>157</v>
      </c>
      <c r="B1245" s="3">
        <v>71</v>
      </c>
      <c r="C1245" s="3" t="str">
        <f t="shared" si="19"/>
        <v>Old</v>
      </c>
      <c r="D1245" t="s">
        <v>3</v>
      </c>
      <c r="E1245" t="s">
        <v>6</v>
      </c>
      <c r="F1245" s="1">
        <v>45288</v>
      </c>
      <c r="G1245" s="10">
        <v>89347.62</v>
      </c>
      <c r="H1245">
        <v>19</v>
      </c>
    </row>
    <row r="1246" spans="1:8" x14ac:dyDescent="0.5">
      <c r="A1246" s="3">
        <v>307</v>
      </c>
      <c r="B1246" s="3">
        <v>19</v>
      </c>
      <c r="C1246" s="3" t="str">
        <f t="shared" si="19"/>
        <v>Young</v>
      </c>
      <c r="D1246" t="s">
        <v>5</v>
      </c>
      <c r="E1246" t="s">
        <v>6</v>
      </c>
      <c r="F1246" s="1">
        <v>45053</v>
      </c>
      <c r="G1246" s="10">
        <v>25796.97</v>
      </c>
      <c r="H1246">
        <v>2</v>
      </c>
    </row>
    <row r="1247" spans="1:8" x14ac:dyDescent="0.5">
      <c r="A1247" s="3">
        <v>39</v>
      </c>
      <c r="B1247" s="3">
        <v>40</v>
      </c>
      <c r="C1247" s="3" t="str">
        <f t="shared" si="19"/>
        <v>Middle Age</v>
      </c>
      <c r="D1247" t="s">
        <v>3</v>
      </c>
      <c r="E1247" t="s">
        <v>1</v>
      </c>
      <c r="F1247" s="1">
        <v>45231</v>
      </c>
      <c r="G1247" s="10">
        <v>14575.69</v>
      </c>
      <c r="H1247">
        <v>12</v>
      </c>
    </row>
    <row r="1248" spans="1:8" x14ac:dyDescent="0.5">
      <c r="A1248" s="3">
        <v>63</v>
      </c>
      <c r="B1248" s="3">
        <v>72</v>
      </c>
      <c r="C1248" s="3" t="str">
        <f t="shared" si="19"/>
        <v>Old</v>
      </c>
      <c r="D1248" t="s">
        <v>3</v>
      </c>
      <c r="E1248" t="s">
        <v>6</v>
      </c>
      <c r="F1248" s="1">
        <v>44970</v>
      </c>
      <c r="G1248" s="10">
        <v>19132.93</v>
      </c>
      <c r="H1248">
        <v>16</v>
      </c>
    </row>
    <row r="1249" spans="1:8" x14ac:dyDescent="0.5">
      <c r="A1249" s="3">
        <v>377</v>
      </c>
      <c r="B1249" s="3">
        <v>19</v>
      </c>
      <c r="C1249" s="3" t="str">
        <f t="shared" si="19"/>
        <v>Young</v>
      </c>
      <c r="D1249" t="s">
        <v>3</v>
      </c>
      <c r="E1249" t="s">
        <v>2</v>
      </c>
      <c r="F1249" s="1">
        <v>45194</v>
      </c>
      <c r="G1249" s="10">
        <v>6755.03</v>
      </c>
      <c r="H1249">
        <v>13</v>
      </c>
    </row>
    <row r="1250" spans="1:8" x14ac:dyDescent="0.5">
      <c r="A1250" s="3">
        <v>304</v>
      </c>
      <c r="B1250" s="3">
        <v>19</v>
      </c>
      <c r="C1250" s="3" t="str">
        <f t="shared" si="19"/>
        <v>Young</v>
      </c>
      <c r="D1250" t="s">
        <v>3</v>
      </c>
      <c r="E1250" t="s">
        <v>2</v>
      </c>
      <c r="F1250" s="1">
        <v>45296</v>
      </c>
      <c r="G1250" s="10">
        <v>8901.5499999999993</v>
      </c>
      <c r="H1250">
        <v>23</v>
      </c>
    </row>
    <row r="1251" spans="1:8" x14ac:dyDescent="0.5">
      <c r="A1251" s="3">
        <v>495</v>
      </c>
      <c r="B1251" s="3">
        <v>57</v>
      </c>
      <c r="C1251" s="3" t="str">
        <f t="shared" si="19"/>
        <v>Old</v>
      </c>
      <c r="D1251" t="s">
        <v>3</v>
      </c>
      <c r="E1251" t="s">
        <v>2</v>
      </c>
      <c r="F1251" s="1">
        <v>45042</v>
      </c>
      <c r="G1251" s="10">
        <v>98955.95</v>
      </c>
      <c r="H1251">
        <v>2</v>
      </c>
    </row>
    <row r="1252" spans="1:8" x14ac:dyDescent="0.5">
      <c r="A1252" s="3">
        <v>104</v>
      </c>
      <c r="B1252" s="3">
        <v>96</v>
      </c>
      <c r="C1252" s="3" t="str">
        <f t="shared" si="19"/>
        <v>Old</v>
      </c>
      <c r="D1252" t="s">
        <v>3</v>
      </c>
      <c r="E1252" t="s">
        <v>1</v>
      </c>
      <c r="F1252" s="1">
        <v>45258</v>
      </c>
      <c r="G1252" s="10">
        <v>43203.5</v>
      </c>
      <c r="H1252">
        <v>26</v>
      </c>
    </row>
    <row r="1253" spans="1:8" x14ac:dyDescent="0.5">
      <c r="A1253" s="3">
        <v>57</v>
      </c>
      <c r="B1253" s="3">
        <v>32</v>
      </c>
      <c r="C1253" s="3" t="str">
        <f t="shared" si="19"/>
        <v>Middle Age</v>
      </c>
      <c r="D1253" t="s">
        <v>5</v>
      </c>
      <c r="E1253" t="s">
        <v>1</v>
      </c>
      <c r="F1253" s="1">
        <v>45027</v>
      </c>
      <c r="G1253" s="10">
        <v>44143.21</v>
      </c>
      <c r="H1253">
        <v>29</v>
      </c>
    </row>
    <row r="1254" spans="1:8" x14ac:dyDescent="0.5">
      <c r="A1254" s="3">
        <v>43</v>
      </c>
      <c r="B1254" s="3">
        <v>19</v>
      </c>
      <c r="C1254" s="3" t="str">
        <f t="shared" si="19"/>
        <v>Young</v>
      </c>
      <c r="D1254" t="s">
        <v>5</v>
      </c>
      <c r="E1254" t="s">
        <v>6</v>
      </c>
      <c r="F1254" s="1">
        <v>44931</v>
      </c>
      <c r="G1254" s="10">
        <v>71821.789999999994</v>
      </c>
      <c r="H1254">
        <v>5</v>
      </c>
    </row>
    <row r="1255" spans="1:8" x14ac:dyDescent="0.5">
      <c r="A1255" s="3">
        <v>196</v>
      </c>
      <c r="B1255" s="3">
        <v>27</v>
      </c>
      <c r="C1255" s="3" t="str">
        <f t="shared" si="19"/>
        <v>Young</v>
      </c>
      <c r="D1255" t="s">
        <v>5</v>
      </c>
      <c r="E1255" t="s">
        <v>0</v>
      </c>
      <c r="F1255" s="1">
        <v>45234</v>
      </c>
      <c r="G1255" s="10">
        <v>44343.39</v>
      </c>
      <c r="H1255">
        <v>22</v>
      </c>
    </row>
    <row r="1256" spans="1:8" x14ac:dyDescent="0.5">
      <c r="A1256" s="3">
        <v>212</v>
      </c>
      <c r="B1256" s="3">
        <v>19</v>
      </c>
      <c r="C1256" s="3" t="str">
        <f t="shared" si="19"/>
        <v>Young</v>
      </c>
      <c r="D1256" t="s">
        <v>3</v>
      </c>
      <c r="E1256" t="s">
        <v>6</v>
      </c>
      <c r="F1256" s="1">
        <v>45290</v>
      </c>
      <c r="G1256" s="10">
        <v>47206.15</v>
      </c>
      <c r="H1256">
        <v>9</v>
      </c>
    </row>
    <row r="1257" spans="1:8" x14ac:dyDescent="0.5">
      <c r="A1257" s="3">
        <v>332</v>
      </c>
      <c r="B1257" s="3">
        <v>80</v>
      </c>
      <c r="C1257" s="3" t="str">
        <f t="shared" si="19"/>
        <v>Old</v>
      </c>
      <c r="D1257" t="s">
        <v>3</v>
      </c>
      <c r="E1257" t="s">
        <v>6</v>
      </c>
      <c r="F1257" s="1">
        <v>45222</v>
      </c>
      <c r="G1257" s="10">
        <v>13794.54</v>
      </c>
      <c r="H1257">
        <v>6</v>
      </c>
    </row>
    <row r="1258" spans="1:8" x14ac:dyDescent="0.5">
      <c r="A1258" s="3">
        <v>95</v>
      </c>
      <c r="B1258" s="3">
        <v>40</v>
      </c>
      <c r="C1258" s="3" t="str">
        <f t="shared" si="19"/>
        <v>Middle Age</v>
      </c>
      <c r="D1258" t="s">
        <v>5</v>
      </c>
      <c r="E1258" t="s">
        <v>4</v>
      </c>
      <c r="F1258" s="1">
        <v>45302</v>
      </c>
      <c r="G1258" s="10">
        <v>75830.83</v>
      </c>
      <c r="H1258">
        <v>7</v>
      </c>
    </row>
    <row r="1259" spans="1:8" x14ac:dyDescent="0.5">
      <c r="A1259" s="3">
        <v>421</v>
      </c>
      <c r="B1259" s="3">
        <v>99</v>
      </c>
      <c r="C1259" s="3" t="str">
        <f t="shared" si="19"/>
        <v>Old</v>
      </c>
      <c r="D1259" t="s">
        <v>3</v>
      </c>
      <c r="E1259" t="s">
        <v>0</v>
      </c>
      <c r="F1259" s="1">
        <v>45205</v>
      </c>
      <c r="G1259" s="10">
        <v>15970.27</v>
      </c>
      <c r="H1259">
        <v>27</v>
      </c>
    </row>
    <row r="1260" spans="1:8" x14ac:dyDescent="0.5">
      <c r="A1260" s="3">
        <v>192</v>
      </c>
      <c r="B1260" s="3">
        <v>19</v>
      </c>
      <c r="C1260" s="3" t="str">
        <f t="shared" si="19"/>
        <v>Young</v>
      </c>
      <c r="D1260" t="s">
        <v>3</v>
      </c>
      <c r="E1260" t="s">
        <v>0</v>
      </c>
      <c r="F1260" s="1">
        <v>45125</v>
      </c>
      <c r="G1260" s="10">
        <v>43958.66</v>
      </c>
      <c r="H1260">
        <v>10</v>
      </c>
    </row>
    <row r="1261" spans="1:8" x14ac:dyDescent="0.5">
      <c r="A1261" s="3">
        <v>382</v>
      </c>
      <c r="B1261" s="3">
        <v>88</v>
      </c>
      <c r="C1261" s="3" t="str">
        <f t="shared" si="19"/>
        <v>Old</v>
      </c>
      <c r="D1261" t="s">
        <v>5</v>
      </c>
      <c r="E1261" t="s">
        <v>4</v>
      </c>
      <c r="F1261" s="1">
        <v>45165</v>
      </c>
      <c r="G1261" s="10">
        <v>54641.86</v>
      </c>
      <c r="H1261">
        <v>29</v>
      </c>
    </row>
    <row r="1262" spans="1:8" x14ac:dyDescent="0.5">
      <c r="A1262" s="3">
        <v>323</v>
      </c>
      <c r="B1262" s="3">
        <v>19</v>
      </c>
      <c r="C1262" s="3" t="str">
        <f t="shared" si="19"/>
        <v>Young</v>
      </c>
      <c r="D1262" t="s">
        <v>3</v>
      </c>
      <c r="E1262" t="s">
        <v>1</v>
      </c>
      <c r="F1262" s="1">
        <v>45300</v>
      </c>
      <c r="G1262" s="10">
        <v>99866.95</v>
      </c>
      <c r="H1262">
        <v>24</v>
      </c>
    </row>
    <row r="1263" spans="1:8" x14ac:dyDescent="0.5">
      <c r="A1263" s="3">
        <v>75</v>
      </c>
      <c r="B1263" s="3">
        <v>68</v>
      </c>
      <c r="C1263" s="3" t="str">
        <f t="shared" si="19"/>
        <v>Old</v>
      </c>
      <c r="D1263" t="s">
        <v>5</v>
      </c>
      <c r="E1263" t="s">
        <v>2</v>
      </c>
      <c r="F1263" s="1">
        <v>44975</v>
      </c>
      <c r="G1263" s="10">
        <v>13671.45</v>
      </c>
      <c r="H1263">
        <v>16</v>
      </c>
    </row>
    <row r="1264" spans="1:8" x14ac:dyDescent="0.5">
      <c r="A1264" s="3">
        <v>265</v>
      </c>
      <c r="B1264" s="3">
        <v>26</v>
      </c>
      <c r="C1264" s="3" t="str">
        <f t="shared" si="19"/>
        <v>Young</v>
      </c>
      <c r="D1264" t="s">
        <v>3</v>
      </c>
      <c r="E1264" t="s">
        <v>0</v>
      </c>
      <c r="F1264" s="1">
        <v>44995</v>
      </c>
      <c r="G1264" s="10">
        <v>77825.58</v>
      </c>
      <c r="H1264">
        <v>5</v>
      </c>
    </row>
    <row r="1265" spans="1:8" x14ac:dyDescent="0.5">
      <c r="A1265" s="3">
        <v>494</v>
      </c>
      <c r="B1265" s="3">
        <v>97</v>
      </c>
      <c r="C1265" s="3" t="str">
        <f t="shared" si="19"/>
        <v>Old</v>
      </c>
      <c r="D1265" t="s">
        <v>3</v>
      </c>
      <c r="E1265" t="s">
        <v>6</v>
      </c>
      <c r="F1265" s="1">
        <v>45183</v>
      </c>
      <c r="G1265" s="10">
        <v>97873.86</v>
      </c>
      <c r="H1265">
        <v>10</v>
      </c>
    </row>
    <row r="1266" spans="1:8" x14ac:dyDescent="0.5">
      <c r="A1266" s="3">
        <v>169</v>
      </c>
      <c r="B1266" s="3">
        <v>41</v>
      </c>
      <c r="C1266" s="3" t="str">
        <f t="shared" si="19"/>
        <v>Middle Age</v>
      </c>
      <c r="D1266" t="s">
        <v>3</v>
      </c>
      <c r="E1266" t="s">
        <v>2</v>
      </c>
      <c r="F1266" s="1">
        <v>45223</v>
      </c>
      <c r="G1266" s="10">
        <v>549.28</v>
      </c>
      <c r="H1266">
        <v>8</v>
      </c>
    </row>
    <row r="1267" spans="1:8" x14ac:dyDescent="0.5">
      <c r="A1267" s="3">
        <v>172</v>
      </c>
      <c r="B1267" s="3">
        <v>64</v>
      </c>
      <c r="C1267" s="3" t="str">
        <f t="shared" si="19"/>
        <v>Old</v>
      </c>
      <c r="D1267" t="s">
        <v>5</v>
      </c>
      <c r="E1267" t="s">
        <v>6</v>
      </c>
      <c r="F1267" s="1">
        <v>45115</v>
      </c>
      <c r="G1267" s="10">
        <v>20767.669999999998</v>
      </c>
      <c r="H1267">
        <v>3</v>
      </c>
    </row>
    <row r="1268" spans="1:8" x14ac:dyDescent="0.5">
      <c r="A1268" s="3">
        <v>70</v>
      </c>
      <c r="B1268" s="3">
        <v>98</v>
      </c>
      <c r="C1268" s="3" t="str">
        <f t="shared" si="19"/>
        <v>Old</v>
      </c>
      <c r="D1268" t="s">
        <v>5</v>
      </c>
      <c r="E1268" t="s">
        <v>4</v>
      </c>
      <c r="F1268" s="1">
        <v>45080</v>
      </c>
      <c r="G1268" s="10">
        <v>77086.39</v>
      </c>
      <c r="H1268">
        <v>16</v>
      </c>
    </row>
    <row r="1269" spans="1:8" x14ac:dyDescent="0.5">
      <c r="A1269" s="3">
        <v>71</v>
      </c>
      <c r="B1269" s="3">
        <v>19</v>
      </c>
      <c r="C1269" s="3" t="str">
        <f t="shared" si="19"/>
        <v>Young</v>
      </c>
      <c r="D1269" t="s">
        <v>5</v>
      </c>
      <c r="E1269" t="s">
        <v>2</v>
      </c>
      <c r="F1269" s="1">
        <v>45071</v>
      </c>
      <c r="G1269" s="10">
        <v>70547.55</v>
      </c>
      <c r="H1269">
        <v>1</v>
      </c>
    </row>
    <row r="1270" spans="1:8" x14ac:dyDescent="0.5">
      <c r="A1270" s="3">
        <v>73</v>
      </c>
      <c r="B1270" s="3">
        <v>64</v>
      </c>
      <c r="C1270" s="3" t="str">
        <f t="shared" si="19"/>
        <v>Old</v>
      </c>
      <c r="D1270" t="s">
        <v>3</v>
      </c>
      <c r="E1270" t="s">
        <v>2</v>
      </c>
      <c r="F1270" s="1">
        <v>45123</v>
      </c>
      <c r="G1270" s="10">
        <v>86156.46</v>
      </c>
      <c r="H1270">
        <v>4</v>
      </c>
    </row>
    <row r="1271" spans="1:8" x14ac:dyDescent="0.5">
      <c r="A1271" s="3">
        <v>383</v>
      </c>
      <c r="B1271" s="3">
        <v>19</v>
      </c>
      <c r="C1271" s="3" t="str">
        <f t="shared" si="19"/>
        <v>Young</v>
      </c>
      <c r="D1271" t="s">
        <v>5</v>
      </c>
      <c r="E1271" t="s">
        <v>2</v>
      </c>
      <c r="F1271" s="1">
        <v>45192</v>
      </c>
      <c r="G1271" s="10">
        <v>53637.39</v>
      </c>
      <c r="H1271">
        <v>20</v>
      </c>
    </row>
    <row r="1272" spans="1:8" x14ac:dyDescent="0.5">
      <c r="A1272" s="3">
        <v>148</v>
      </c>
      <c r="B1272" s="3">
        <v>76</v>
      </c>
      <c r="C1272" s="3" t="str">
        <f t="shared" si="19"/>
        <v>Old</v>
      </c>
      <c r="D1272" t="s">
        <v>3</v>
      </c>
      <c r="E1272" t="s">
        <v>4</v>
      </c>
      <c r="F1272" s="1">
        <v>45066</v>
      </c>
      <c r="G1272" s="10">
        <v>96752.79</v>
      </c>
      <c r="H1272">
        <v>29</v>
      </c>
    </row>
    <row r="1273" spans="1:8" x14ac:dyDescent="0.5">
      <c r="A1273" s="3">
        <v>232</v>
      </c>
      <c r="B1273" s="3">
        <v>19</v>
      </c>
      <c r="C1273" s="3" t="str">
        <f t="shared" si="19"/>
        <v>Young</v>
      </c>
      <c r="D1273" t="s">
        <v>3</v>
      </c>
      <c r="E1273" t="s">
        <v>4</v>
      </c>
      <c r="F1273" s="1">
        <v>45276</v>
      </c>
      <c r="G1273" s="10">
        <v>25635.55</v>
      </c>
      <c r="H1273">
        <v>11</v>
      </c>
    </row>
    <row r="1274" spans="1:8" x14ac:dyDescent="0.5">
      <c r="A1274" s="3">
        <v>409</v>
      </c>
      <c r="B1274" s="3">
        <v>71</v>
      </c>
      <c r="C1274" s="3" t="str">
        <f t="shared" si="19"/>
        <v>Old</v>
      </c>
      <c r="D1274" t="s">
        <v>5</v>
      </c>
      <c r="E1274" t="s">
        <v>0</v>
      </c>
      <c r="F1274" s="1">
        <v>45200</v>
      </c>
      <c r="G1274" s="10">
        <v>65756.3</v>
      </c>
      <c r="H1274">
        <v>1</v>
      </c>
    </row>
    <row r="1275" spans="1:8" x14ac:dyDescent="0.5">
      <c r="A1275" s="3">
        <v>172</v>
      </c>
      <c r="B1275" s="3">
        <v>92</v>
      </c>
      <c r="C1275" s="3" t="str">
        <f t="shared" si="19"/>
        <v>Old</v>
      </c>
      <c r="D1275" t="s">
        <v>3</v>
      </c>
      <c r="E1275" t="s">
        <v>2</v>
      </c>
      <c r="F1275" s="1">
        <v>45224</v>
      </c>
      <c r="G1275" s="10">
        <v>25212.61</v>
      </c>
      <c r="H1275">
        <v>9</v>
      </c>
    </row>
    <row r="1276" spans="1:8" x14ac:dyDescent="0.5">
      <c r="A1276" s="3">
        <v>230</v>
      </c>
      <c r="B1276" s="3">
        <v>19</v>
      </c>
      <c r="C1276" s="3" t="str">
        <f t="shared" si="19"/>
        <v>Young</v>
      </c>
      <c r="D1276" t="s">
        <v>3</v>
      </c>
      <c r="E1276" t="s">
        <v>1</v>
      </c>
      <c r="F1276" s="1">
        <v>45100</v>
      </c>
      <c r="G1276" s="10">
        <v>23863.85</v>
      </c>
      <c r="H1276">
        <v>9</v>
      </c>
    </row>
    <row r="1277" spans="1:8" x14ac:dyDescent="0.5">
      <c r="A1277" s="3">
        <v>445</v>
      </c>
      <c r="B1277" s="3">
        <v>19</v>
      </c>
      <c r="C1277" s="3" t="str">
        <f t="shared" si="19"/>
        <v>Young</v>
      </c>
      <c r="D1277" t="s">
        <v>3</v>
      </c>
      <c r="E1277" t="s">
        <v>6</v>
      </c>
      <c r="F1277" s="1">
        <v>45277</v>
      </c>
      <c r="G1277" s="10">
        <v>4103.17</v>
      </c>
      <c r="H1277">
        <v>29</v>
      </c>
    </row>
    <row r="1278" spans="1:8" x14ac:dyDescent="0.5">
      <c r="A1278" s="3">
        <v>177</v>
      </c>
      <c r="B1278" s="3">
        <v>59</v>
      </c>
      <c r="C1278" s="3" t="str">
        <f t="shared" si="19"/>
        <v>Old</v>
      </c>
      <c r="D1278" t="s">
        <v>5</v>
      </c>
      <c r="E1278" t="s">
        <v>6</v>
      </c>
      <c r="F1278" s="1">
        <v>45182</v>
      </c>
      <c r="G1278" s="10">
        <v>8607.5300000000007</v>
      </c>
      <c r="H1278">
        <v>7</v>
      </c>
    </row>
    <row r="1279" spans="1:8" x14ac:dyDescent="0.5">
      <c r="A1279" s="3">
        <v>375</v>
      </c>
      <c r="B1279" s="3">
        <v>81</v>
      </c>
      <c r="C1279" s="3" t="str">
        <f t="shared" si="19"/>
        <v>Old</v>
      </c>
      <c r="D1279" t="s">
        <v>3</v>
      </c>
      <c r="E1279" t="s">
        <v>6</v>
      </c>
      <c r="F1279" s="1">
        <v>45244</v>
      </c>
      <c r="G1279" s="10">
        <v>68083.19</v>
      </c>
      <c r="H1279">
        <v>19</v>
      </c>
    </row>
    <row r="1280" spans="1:8" x14ac:dyDescent="0.5">
      <c r="A1280" s="3">
        <v>53</v>
      </c>
      <c r="B1280" s="3">
        <v>104</v>
      </c>
      <c r="C1280" s="3" t="str">
        <f t="shared" si="19"/>
        <v>Old</v>
      </c>
      <c r="D1280" t="s">
        <v>5</v>
      </c>
      <c r="E1280" t="s">
        <v>0</v>
      </c>
      <c r="F1280" s="1">
        <v>45070</v>
      </c>
      <c r="G1280" s="10">
        <v>63671.32</v>
      </c>
      <c r="H1280">
        <v>19</v>
      </c>
    </row>
    <row r="1281" spans="1:8" x14ac:dyDescent="0.5">
      <c r="A1281" s="3">
        <v>380</v>
      </c>
      <c r="B1281" s="3">
        <v>60</v>
      </c>
      <c r="C1281" s="3" t="str">
        <f t="shared" si="19"/>
        <v>Old</v>
      </c>
      <c r="D1281" t="s">
        <v>3</v>
      </c>
      <c r="E1281" t="s">
        <v>1</v>
      </c>
      <c r="F1281" s="1">
        <v>45155</v>
      </c>
      <c r="G1281" s="10">
        <v>11424.78</v>
      </c>
      <c r="H1281">
        <v>12</v>
      </c>
    </row>
    <row r="1282" spans="1:8" x14ac:dyDescent="0.5">
      <c r="A1282" s="3">
        <v>162</v>
      </c>
      <c r="B1282" s="3">
        <v>39</v>
      </c>
      <c r="C1282" s="3" t="str">
        <f t="shared" ref="C1282:C1345" si="20">IF(B1282&lt;=30,"Young", IF(B1282&lt;=55,"Middle Age",IF(B1282&gt;55,"Old","Not found")))</f>
        <v>Middle Age</v>
      </c>
      <c r="D1282" t="s">
        <v>3</v>
      </c>
      <c r="E1282" t="s">
        <v>2</v>
      </c>
      <c r="F1282" s="1">
        <v>45210</v>
      </c>
      <c r="G1282" s="10">
        <v>15303.33</v>
      </c>
      <c r="H1282">
        <v>8</v>
      </c>
    </row>
    <row r="1283" spans="1:8" x14ac:dyDescent="0.5">
      <c r="A1283" s="3">
        <v>222</v>
      </c>
      <c r="B1283" s="3">
        <v>19</v>
      </c>
      <c r="C1283" s="3" t="str">
        <f t="shared" si="20"/>
        <v>Young</v>
      </c>
      <c r="D1283" t="s">
        <v>3</v>
      </c>
      <c r="E1283" t="s">
        <v>6</v>
      </c>
      <c r="F1283" s="1">
        <v>45245</v>
      </c>
      <c r="G1283" s="10">
        <v>36342.28</v>
      </c>
      <c r="H1283">
        <v>10</v>
      </c>
    </row>
    <row r="1284" spans="1:8" x14ac:dyDescent="0.5">
      <c r="A1284" s="3">
        <v>139</v>
      </c>
      <c r="B1284" s="3">
        <v>64</v>
      </c>
      <c r="C1284" s="3" t="str">
        <f t="shared" si="20"/>
        <v>Old</v>
      </c>
      <c r="D1284" t="s">
        <v>5</v>
      </c>
      <c r="E1284" t="s">
        <v>2</v>
      </c>
      <c r="F1284" s="1">
        <v>45058</v>
      </c>
      <c r="G1284" s="10">
        <v>90424.16</v>
      </c>
      <c r="H1284">
        <v>12</v>
      </c>
    </row>
    <row r="1285" spans="1:8" x14ac:dyDescent="0.5">
      <c r="A1285" s="3">
        <v>447</v>
      </c>
      <c r="B1285" s="3">
        <v>85</v>
      </c>
      <c r="C1285" s="3" t="str">
        <f t="shared" si="20"/>
        <v>Old</v>
      </c>
      <c r="D1285" t="s">
        <v>3</v>
      </c>
      <c r="E1285" t="s">
        <v>1</v>
      </c>
      <c r="F1285" s="1">
        <v>45311</v>
      </c>
      <c r="G1285" s="10">
        <v>81055.289999999994</v>
      </c>
      <c r="H1285">
        <v>22</v>
      </c>
    </row>
    <row r="1286" spans="1:8" x14ac:dyDescent="0.5">
      <c r="A1286" s="3">
        <v>443</v>
      </c>
      <c r="B1286" s="3">
        <v>64</v>
      </c>
      <c r="C1286" s="3" t="str">
        <f t="shared" si="20"/>
        <v>Old</v>
      </c>
      <c r="D1286" t="s">
        <v>5</v>
      </c>
      <c r="E1286" t="s">
        <v>6</v>
      </c>
      <c r="F1286" s="1">
        <v>45276</v>
      </c>
      <c r="G1286" s="10">
        <v>36192.61</v>
      </c>
      <c r="H1286">
        <v>4</v>
      </c>
    </row>
    <row r="1287" spans="1:8" x14ac:dyDescent="0.5">
      <c r="A1287" s="3">
        <v>249</v>
      </c>
      <c r="B1287" s="3">
        <v>64</v>
      </c>
      <c r="C1287" s="3" t="str">
        <f t="shared" si="20"/>
        <v>Old</v>
      </c>
      <c r="D1287" t="s">
        <v>5</v>
      </c>
      <c r="E1287" t="s">
        <v>2</v>
      </c>
      <c r="F1287" s="1">
        <v>45223</v>
      </c>
      <c r="G1287" s="10">
        <v>96042.47</v>
      </c>
      <c r="H1287">
        <v>12</v>
      </c>
    </row>
    <row r="1288" spans="1:8" x14ac:dyDescent="0.5">
      <c r="A1288" s="3">
        <v>90</v>
      </c>
      <c r="B1288" s="3">
        <v>26</v>
      </c>
      <c r="C1288" s="3" t="str">
        <f t="shared" si="20"/>
        <v>Young</v>
      </c>
      <c r="D1288" t="s">
        <v>5</v>
      </c>
      <c r="E1288" t="s">
        <v>4</v>
      </c>
      <c r="F1288" s="1">
        <v>45294</v>
      </c>
      <c r="G1288" s="10">
        <v>78525.83</v>
      </c>
      <c r="H1288">
        <v>21</v>
      </c>
    </row>
    <row r="1289" spans="1:8" x14ac:dyDescent="0.5">
      <c r="A1289" s="3">
        <v>150</v>
      </c>
      <c r="B1289" s="3">
        <v>103</v>
      </c>
      <c r="C1289" s="3" t="str">
        <f t="shared" si="20"/>
        <v>Old</v>
      </c>
      <c r="D1289" t="s">
        <v>3</v>
      </c>
      <c r="E1289" t="s">
        <v>0</v>
      </c>
      <c r="F1289" s="1">
        <v>45086</v>
      </c>
      <c r="G1289" s="10">
        <v>15780.23</v>
      </c>
      <c r="H1289">
        <v>19</v>
      </c>
    </row>
    <row r="1290" spans="1:8" x14ac:dyDescent="0.5">
      <c r="A1290" s="3">
        <v>239</v>
      </c>
      <c r="B1290" s="3">
        <v>47</v>
      </c>
      <c r="C1290" s="3" t="str">
        <f t="shared" si="20"/>
        <v>Middle Age</v>
      </c>
      <c r="D1290" t="s">
        <v>5</v>
      </c>
      <c r="E1290" t="s">
        <v>6</v>
      </c>
      <c r="F1290" s="1">
        <v>45195</v>
      </c>
      <c r="G1290" s="10">
        <v>8968.56</v>
      </c>
      <c r="H1290">
        <v>17</v>
      </c>
    </row>
    <row r="1291" spans="1:8" x14ac:dyDescent="0.5">
      <c r="A1291" s="3">
        <v>24</v>
      </c>
      <c r="B1291" s="3">
        <v>19</v>
      </c>
      <c r="C1291" s="3" t="str">
        <f t="shared" si="20"/>
        <v>Young</v>
      </c>
      <c r="D1291" t="s">
        <v>5</v>
      </c>
      <c r="E1291" t="s">
        <v>4</v>
      </c>
      <c r="F1291" s="1">
        <v>45049</v>
      </c>
      <c r="G1291" s="10">
        <v>93871.54</v>
      </c>
      <c r="H1291">
        <v>25</v>
      </c>
    </row>
    <row r="1292" spans="1:8" x14ac:dyDescent="0.5">
      <c r="A1292" s="3">
        <v>4</v>
      </c>
      <c r="B1292" s="3">
        <v>66</v>
      </c>
      <c r="C1292" s="3" t="str">
        <f t="shared" si="20"/>
        <v>Old</v>
      </c>
      <c r="D1292" t="s">
        <v>3</v>
      </c>
      <c r="E1292" t="s">
        <v>6</v>
      </c>
      <c r="F1292" s="1">
        <v>45271</v>
      </c>
      <c r="G1292" s="10">
        <v>40105.65</v>
      </c>
      <c r="H1292">
        <v>2</v>
      </c>
    </row>
    <row r="1293" spans="1:8" x14ac:dyDescent="0.5">
      <c r="A1293" s="3">
        <v>283</v>
      </c>
      <c r="B1293" s="3">
        <v>19</v>
      </c>
      <c r="C1293" s="3" t="str">
        <f t="shared" si="20"/>
        <v>Young</v>
      </c>
      <c r="D1293" t="s">
        <v>3</v>
      </c>
      <c r="E1293" t="s">
        <v>2</v>
      </c>
      <c r="F1293" s="1">
        <v>45008</v>
      </c>
      <c r="G1293" s="10">
        <v>88869.62</v>
      </c>
      <c r="H1293">
        <v>22</v>
      </c>
    </row>
    <row r="1294" spans="1:8" x14ac:dyDescent="0.5">
      <c r="A1294" s="3">
        <v>106</v>
      </c>
      <c r="B1294" s="3">
        <v>42</v>
      </c>
      <c r="C1294" s="3" t="str">
        <f t="shared" si="20"/>
        <v>Middle Age</v>
      </c>
      <c r="D1294" t="s">
        <v>3</v>
      </c>
      <c r="E1294" t="s">
        <v>0</v>
      </c>
      <c r="F1294" s="1">
        <v>45120</v>
      </c>
      <c r="G1294" s="10">
        <v>47551.41</v>
      </c>
      <c r="H1294">
        <v>16</v>
      </c>
    </row>
    <row r="1295" spans="1:8" x14ac:dyDescent="0.5">
      <c r="A1295" s="3">
        <v>279</v>
      </c>
      <c r="B1295" s="3">
        <v>90</v>
      </c>
      <c r="C1295" s="3" t="str">
        <f t="shared" si="20"/>
        <v>Old</v>
      </c>
      <c r="D1295" t="s">
        <v>5</v>
      </c>
      <c r="E1295" t="s">
        <v>6</v>
      </c>
      <c r="F1295" s="1">
        <v>45254</v>
      </c>
      <c r="G1295" s="10">
        <v>48299.93</v>
      </c>
      <c r="H1295">
        <v>10</v>
      </c>
    </row>
    <row r="1296" spans="1:8" x14ac:dyDescent="0.5">
      <c r="A1296" s="3">
        <v>359</v>
      </c>
      <c r="B1296" s="3">
        <v>64</v>
      </c>
      <c r="C1296" s="3" t="str">
        <f t="shared" si="20"/>
        <v>Old</v>
      </c>
      <c r="D1296" t="s">
        <v>3</v>
      </c>
      <c r="E1296" t="s">
        <v>1</v>
      </c>
      <c r="F1296" s="1">
        <v>45104</v>
      </c>
      <c r="G1296" s="10">
        <v>2630.34</v>
      </c>
      <c r="H1296">
        <v>13</v>
      </c>
    </row>
    <row r="1297" spans="1:8" x14ac:dyDescent="0.5">
      <c r="A1297" s="3">
        <v>94</v>
      </c>
      <c r="B1297" s="3">
        <v>34</v>
      </c>
      <c r="C1297" s="3" t="str">
        <f t="shared" si="20"/>
        <v>Middle Age</v>
      </c>
      <c r="D1297" t="s">
        <v>3</v>
      </c>
      <c r="E1297" t="s">
        <v>2</v>
      </c>
      <c r="F1297" s="1">
        <v>45053</v>
      </c>
      <c r="G1297" s="10">
        <v>33458.06</v>
      </c>
      <c r="H1297">
        <v>3</v>
      </c>
    </row>
    <row r="1298" spans="1:8" x14ac:dyDescent="0.5">
      <c r="A1298" s="3">
        <v>27</v>
      </c>
      <c r="B1298" s="3">
        <v>66</v>
      </c>
      <c r="C1298" s="3" t="str">
        <f t="shared" si="20"/>
        <v>Old</v>
      </c>
      <c r="D1298" t="s">
        <v>3</v>
      </c>
      <c r="E1298" t="s">
        <v>0</v>
      </c>
      <c r="F1298" s="1">
        <v>45146</v>
      </c>
      <c r="G1298" s="10">
        <v>64094.48</v>
      </c>
      <c r="H1298">
        <v>27</v>
      </c>
    </row>
    <row r="1299" spans="1:8" x14ac:dyDescent="0.5">
      <c r="A1299" s="3">
        <v>479</v>
      </c>
      <c r="B1299" s="3">
        <v>60</v>
      </c>
      <c r="C1299" s="3" t="str">
        <f t="shared" si="20"/>
        <v>Old</v>
      </c>
      <c r="D1299" t="s">
        <v>3</v>
      </c>
      <c r="E1299" t="s">
        <v>4</v>
      </c>
      <c r="F1299" s="1">
        <v>45289</v>
      </c>
      <c r="G1299" s="10">
        <v>64086.79</v>
      </c>
      <c r="H1299">
        <v>20</v>
      </c>
    </row>
    <row r="1300" spans="1:8" x14ac:dyDescent="0.5">
      <c r="A1300" s="3">
        <v>458</v>
      </c>
      <c r="B1300" s="3">
        <v>19</v>
      </c>
      <c r="C1300" s="3" t="str">
        <f t="shared" si="20"/>
        <v>Young</v>
      </c>
      <c r="D1300" t="s">
        <v>3</v>
      </c>
      <c r="E1300" t="s">
        <v>1</v>
      </c>
      <c r="F1300" s="1">
        <v>45250</v>
      </c>
      <c r="G1300" s="10">
        <v>1890.62</v>
      </c>
      <c r="H1300">
        <v>6</v>
      </c>
    </row>
    <row r="1301" spans="1:8" x14ac:dyDescent="0.5">
      <c r="A1301" s="3">
        <v>348</v>
      </c>
      <c r="B1301" s="3">
        <v>19</v>
      </c>
      <c r="C1301" s="3" t="str">
        <f t="shared" si="20"/>
        <v>Young</v>
      </c>
      <c r="D1301" t="s">
        <v>5</v>
      </c>
      <c r="E1301" t="s">
        <v>0</v>
      </c>
      <c r="F1301" s="1">
        <v>45155</v>
      </c>
      <c r="G1301" s="10">
        <v>31873.200000000001</v>
      </c>
      <c r="H1301">
        <v>2</v>
      </c>
    </row>
    <row r="1302" spans="1:8" x14ac:dyDescent="0.5">
      <c r="A1302" s="3">
        <v>323</v>
      </c>
      <c r="B1302" s="3">
        <v>87</v>
      </c>
      <c r="C1302" s="3" t="str">
        <f t="shared" si="20"/>
        <v>Old</v>
      </c>
      <c r="D1302" t="s">
        <v>3</v>
      </c>
      <c r="E1302" t="s">
        <v>4</v>
      </c>
      <c r="F1302" s="1">
        <v>45013</v>
      </c>
      <c r="G1302" s="10">
        <v>77988.789999999994</v>
      </c>
      <c r="H1302">
        <v>4</v>
      </c>
    </row>
    <row r="1303" spans="1:8" x14ac:dyDescent="0.5">
      <c r="A1303" s="3">
        <v>360</v>
      </c>
      <c r="B1303" s="3">
        <v>64</v>
      </c>
      <c r="C1303" s="3" t="str">
        <f t="shared" si="20"/>
        <v>Old</v>
      </c>
      <c r="D1303" t="s">
        <v>5</v>
      </c>
      <c r="E1303" t="s">
        <v>6</v>
      </c>
      <c r="F1303" s="1">
        <v>44934</v>
      </c>
      <c r="G1303" s="10">
        <v>71280.92</v>
      </c>
      <c r="H1303">
        <v>5</v>
      </c>
    </row>
    <row r="1304" spans="1:8" x14ac:dyDescent="0.5">
      <c r="A1304" s="3">
        <v>63</v>
      </c>
      <c r="B1304" s="3">
        <v>98</v>
      </c>
      <c r="C1304" s="3" t="str">
        <f t="shared" si="20"/>
        <v>Old</v>
      </c>
      <c r="D1304" t="s">
        <v>3</v>
      </c>
      <c r="E1304" t="s">
        <v>2</v>
      </c>
      <c r="F1304" s="1">
        <v>44949</v>
      </c>
      <c r="G1304" s="10">
        <v>70867.520000000004</v>
      </c>
      <c r="H1304">
        <v>5</v>
      </c>
    </row>
    <row r="1305" spans="1:8" x14ac:dyDescent="0.5">
      <c r="A1305" s="3">
        <v>375</v>
      </c>
      <c r="B1305" s="3">
        <v>83</v>
      </c>
      <c r="C1305" s="3" t="str">
        <f t="shared" si="20"/>
        <v>Old</v>
      </c>
      <c r="D1305" t="s">
        <v>5</v>
      </c>
      <c r="E1305" t="s">
        <v>2</v>
      </c>
      <c r="F1305" s="1">
        <v>45279</v>
      </c>
      <c r="G1305" s="10">
        <v>50172.51</v>
      </c>
      <c r="H1305">
        <v>29</v>
      </c>
    </row>
    <row r="1306" spans="1:8" x14ac:dyDescent="0.5">
      <c r="A1306" s="3">
        <v>356</v>
      </c>
      <c r="B1306" s="3">
        <v>81</v>
      </c>
      <c r="C1306" s="3" t="str">
        <f t="shared" si="20"/>
        <v>Old</v>
      </c>
      <c r="D1306" t="s">
        <v>3</v>
      </c>
      <c r="E1306" t="s">
        <v>4</v>
      </c>
      <c r="F1306" s="1">
        <v>45269</v>
      </c>
      <c r="G1306" s="10">
        <v>18981.68</v>
      </c>
      <c r="H1306">
        <v>12</v>
      </c>
    </row>
    <row r="1307" spans="1:8" x14ac:dyDescent="0.5">
      <c r="A1307" s="3">
        <v>495</v>
      </c>
      <c r="B1307" s="3">
        <v>64</v>
      </c>
      <c r="C1307" s="3" t="str">
        <f t="shared" si="20"/>
        <v>Old</v>
      </c>
      <c r="D1307" t="s">
        <v>3</v>
      </c>
      <c r="E1307" t="s">
        <v>0</v>
      </c>
      <c r="F1307" s="1">
        <v>44961</v>
      </c>
      <c r="G1307" s="10">
        <v>63150.47</v>
      </c>
      <c r="H1307">
        <v>9</v>
      </c>
    </row>
    <row r="1308" spans="1:8" x14ac:dyDescent="0.5">
      <c r="A1308" s="3">
        <v>275</v>
      </c>
      <c r="B1308" s="3">
        <v>102</v>
      </c>
      <c r="C1308" s="3" t="str">
        <f t="shared" si="20"/>
        <v>Old</v>
      </c>
      <c r="D1308" t="s">
        <v>3</v>
      </c>
      <c r="E1308" t="s">
        <v>4</v>
      </c>
      <c r="F1308" s="1">
        <v>45140</v>
      </c>
      <c r="G1308" s="10">
        <v>35988.28</v>
      </c>
      <c r="H1308">
        <v>10</v>
      </c>
    </row>
    <row r="1309" spans="1:8" x14ac:dyDescent="0.5">
      <c r="A1309" s="3">
        <v>225</v>
      </c>
      <c r="B1309" s="3">
        <v>80</v>
      </c>
      <c r="C1309" s="3" t="str">
        <f t="shared" si="20"/>
        <v>Old</v>
      </c>
      <c r="D1309" t="s">
        <v>5</v>
      </c>
      <c r="E1309" t="s">
        <v>1</v>
      </c>
      <c r="F1309" s="1">
        <v>45157</v>
      </c>
      <c r="G1309" s="10">
        <v>71200.38</v>
      </c>
      <c r="H1309">
        <v>21</v>
      </c>
    </row>
    <row r="1310" spans="1:8" x14ac:dyDescent="0.5">
      <c r="A1310" s="3">
        <v>80</v>
      </c>
      <c r="B1310" s="3">
        <v>19</v>
      </c>
      <c r="C1310" s="3" t="str">
        <f t="shared" si="20"/>
        <v>Young</v>
      </c>
      <c r="D1310" t="s">
        <v>5</v>
      </c>
      <c r="E1310" t="s">
        <v>0</v>
      </c>
      <c r="F1310" s="1">
        <v>45210</v>
      </c>
      <c r="G1310" s="10">
        <v>77901.509999999995</v>
      </c>
      <c r="H1310">
        <v>0</v>
      </c>
    </row>
    <row r="1311" spans="1:8" x14ac:dyDescent="0.5">
      <c r="A1311" s="3">
        <v>365</v>
      </c>
      <c r="B1311" s="3">
        <v>83</v>
      </c>
      <c r="C1311" s="3" t="str">
        <f t="shared" si="20"/>
        <v>Old</v>
      </c>
      <c r="D1311" t="s">
        <v>3</v>
      </c>
      <c r="E1311" t="s">
        <v>4</v>
      </c>
      <c r="F1311" s="1">
        <v>45039</v>
      </c>
      <c r="G1311" s="10">
        <v>36679.61</v>
      </c>
      <c r="H1311">
        <v>11</v>
      </c>
    </row>
    <row r="1312" spans="1:8" x14ac:dyDescent="0.5">
      <c r="A1312" s="3">
        <v>107</v>
      </c>
      <c r="B1312" s="3">
        <v>22</v>
      </c>
      <c r="C1312" s="3" t="str">
        <f t="shared" si="20"/>
        <v>Young</v>
      </c>
      <c r="D1312" t="s">
        <v>5</v>
      </c>
      <c r="E1312" t="s">
        <v>2</v>
      </c>
      <c r="F1312" s="1">
        <v>45020</v>
      </c>
      <c r="G1312" s="10">
        <v>20647.98</v>
      </c>
      <c r="H1312">
        <v>5</v>
      </c>
    </row>
    <row r="1313" spans="1:8" x14ac:dyDescent="0.5">
      <c r="A1313" s="3">
        <v>421</v>
      </c>
      <c r="B1313" s="3">
        <v>71</v>
      </c>
      <c r="C1313" s="3" t="str">
        <f t="shared" si="20"/>
        <v>Old</v>
      </c>
      <c r="D1313" t="s">
        <v>3</v>
      </c>
      <c r="E1313" t="s">
        <v>4</v>
      </c>
      <c r="F1313" s="1">
        <v>45175</v>
      </c>
      <c r="G1313" s="10">
        <v>54064.67</v>
      </c>
      <c r="H1313">
        <v>20</v>
      </c>
    </row>
    <row r="1314" spans="1:8" x14ac:dyDescent="0.5">
      <c r="A1314" s="3">
        <v>287</v>
      </c>
      <c r="B1314" s="3">
        <v>19</v>
      </c>
      <c r="C1314" s="3" t="str">
        <f t="shared" si="20"/>
        <v>Young</v>
      </c>
      <c r="D1314" t="s">
        <v>5</v>
      </c>
      <c r="E1314" t="s">
        <v>6</v>
      </c>
      <c r="F1314" s="1">
        <v>45115</v>
      </c>
      <c r="G1314" s="10">
        <v>2876.66</v>
      </c>
      <c r="H1314">
        <v>16</v>
      </c>
    </row>
    <row r="1315" spans="1:8" x14ac:dyDescent="0.5">
      <c r="A1315" s="3">
        <v>400</v>
      </c>
      <c r="B1315" s="3">
        <v>60</v>
      </c>
      <c r="C1315" s="3" t="str">
        <f t="shared" si="20"/>
        <v>Old</v>
      </c>
      <c r="D1315" t="s">
        <v>5</v>
      </c>
      <c r="E1315" t="s">
        <v>4</v>
      </c>
      <c r="F1315" s="1">
        <v>45246</v>
      </c>
      <c r="G1315" s="10">
        <v>45179.51</v>
      </c>
      <c r="H1315">
        <v>16</v>
      </c>
    </row>
    <row r="1316" spans="1:8" x14ac:dyDescent="0.5">
      <c r="A1316" s="3">
        <v>272</v>
      </c>
      <c r="B1316" s="3">
        <v>83</v>
      </c>
      <c r="C1316" s="3" t="str">
        <f t="shared" si="20"/>
        <v>Old</v>
      </c>
      <c r="D1316" t="s">
        <v>3</v>
      </c>
      <c r="E1316" t="s">
        <v>4</v>
      </c>
      <c r="F1316" s="1">
        <v>45196</v>
      </c>
      <c r="G1316" s="10">
        <v>99439.99</v>
      </c>
      <c r="H1316">
        <v>2</v>
      </c>
    </row>
    <row r="1317" spans="1:8" x14ac:dyDescent="0.5">
      <c r="A1317" s="3">
        <v>202</v>
      </c>
      <c r="B1317" s="3">
        <v>1</v>
      </c>
      <c r="C1317" s="3" t="str">
        <f t="shared" si="20"/>
        <v>Young</v>
      </c>
      <c r="D1317" t="s">
        <v>5</v>
      </c>
      <c r="E1317" t="s">
        <v>1</v>
      </c>
      <c r="F1317" s="1">
        <v>45168</v>
      </c>
      <c r="G1317" s="10">
        <v>28634.43</v>
      </c>
      <c r="H1317">
        <v>1</v>
      </c>
    </row>
    <row r="1318" spans="1:8" x14ac:dyDescent="0.5">
      <c r="A1318" s="3">
        <v>36</v>
      </c>
      <c r="B1318" s="3">
        <v>31</v>
      </c>
      <c r="C1318" s="3" t="str">
        <f t="shared" si="20"/>
        <v>Middle Age</v>
      </c>
      <c r="D1318" t="s">
        <v>3</v>
      </c>
      <c r="E1318" t="s">
        <v>0</v>
      </c>
      <c r="F1318" s="1">
        <v>44989</v>
      </c>
      <c r="G1318" s="10">
        <v>27283.58</v>
      </c>
      <c r="H1318">
        <v>1</v>
      </c>
    </row>
    <row r="1319" spans="1:8" x14ac:dyDescent="0.5">
      <c r="A1319" s="3">
        <v>145</v>
      </c>
      <c r="B1319" s="3">
        <v>26</v>
      </c>
      <c r="C1319" s="3" t="str">
        <f t="shared" si="20"/>
        <v>Young</v>
      </c>
      <c r="D1319" t="s">
        <v>3</v>
      </c>
      <c r="E1319" t="s">
        <v>2</v>
      </c>
      <c r="F1319" s="1">
        <v>44990</v>
      </c>
      <c r="G1319" s="10">
        <v>70740.75</v>
      </c>
      <c r="H1319">
        <v>14</v>
      </c>
    </row>
    <row r="1320" spans="1:8" x14ac:dyDescent="0.5">
      <c r="A1320" s="3">
        <v>306</v>
      </c>
      <c r="B1320" s="3">
        <v>19</v>
      </c>
      <c r="C1320" s="3" t="str">
        <f t="shared" si="20"/>
        <v>Young</v>
      </c>
      <c r="D1320" t="s">
        <v>3</v>
      </c>
      <c r="E1320" t="s">
        <v>6</v>
      </c>
      <c r="F1320" s="1">
        <v>45295</v>
      </c>
      <c r="G1320" s="10">
        <v>87882.83</v>
      </c>
      <c r="H1320">
        <v>20</v>
      </c>
    </row>
    <row r="1321" spans="1:8" x14ac:dyDescent="0.5">
      <c r="A1321" s="3">
        <v>161</v>
      </c>
      <c r="B1321" s="3">
        <v>67</v>
      </c>
      <c r="C1321" s="3" t="str">
        <f t="shared" si="20"/>
        <v>Old</v>
      </c>
      <c r="D1321" t="s">
        <v>5</v>
      </c>
      <c r="E1321" t="s">
        <v>1</v>
      </c>
      <c r="F1321" s="1">
        <v>45067</v>
      </c>
      <c r="G1321" s="10">
        <v>42495.99</v>
      </c>
      <c r="H1321">
        <v>4</v>
      </c>
    </row>
    <row r="1322" spans="1:8" x14ac:dyDescent="0.5">
      <c r="A1322" s="3">
        <v>141</v>
      </c>
      <c r="B1322" s="3">
        <v>18</v>
      </c>
      <c r="C1322" s="3" t="str">
        <f t="shared" si="20"/>
        <v>Young</v>
      </c>
      <c r="D1322" t="s">
        <v>3</v>
      </c>
      <c r="E1322" t="s">
        <v>0</v>
      </c>
      <c r="F1322" s="1">
        <v>45245</v>
      </c>
      <c r="G1322" s="10">
        <v>24831.41</v>
      </c>
      <c r="H1322">
        <v>18</v>
      </c>
    </row>
    <row r="1323" spans="1:8" x14ac:dyDescent="0.5">
      <c r="A1323" s="3">
        <v>463</v>
      </c>
      <c r="B1323" s="3">
        <v>18</v>
      </c>
      <c r="C1323" s="3" t="str">
        <f t="shared" si="20"/>
        <v>Young</v>
      </c>
      <c r="D1323" t="s">
        <v>5</v>
      </c>
      <c r="E1323" t="s">
        <v>1</v>
      </c>
      <c r="F1323" s="1">
        <v>45154</v>
      </c>
      <c r="G1323" s="10">
        <v>96995.95</v>
      </c>
      <c r="H1323">
        <v>3</v>
      </c>
    </row>
    <row r="1324" spans="1:8" x14ac:dyDescent="0.5">
      <c r="A1324" s="3">
        <v>192</v>
      </c>
      <c r="B1324" s="3">
        <v>59</v>
      </c>
      <c r="C1324" s="3" t="str">
        <f t="shared" si="20"/>
        <v>Old</v>
      </c>
      <c r="D1324" t="s">
        <v>3</v>
      </c>
      <c r="E1324" t="s">
        <v>1</v>
      </c>
      <c r="F1324" s="1">
        <v>45074</v>
      </c>
      <c r="G1324" s="10">
        <v>77370.570000000007</v>
      </c>
      <c r="H1324">
        <v>5</v>
      </c>
    </row>
    <row r="1325" spans="1:8" x14ac:dyDescent="0.5">
      <c r="A1325" s="3">
        <v>158</v>
      </c>
      <c r="B1325" s="3">
        <v>36</v>
      </c>
      <c r="C1325" s="3" t="str">
        <f t="shared" si="20"/>
        <v>Middle Age</v>
      </c>
      <c r="D1325" t="s">
        <v>3</v>
      </c>
      <c r="E1325" t="s">
        <v>6</v>
      </c>
      <c r="F1325" s="1">
        <v>45098</v>
      </c>
      <c r="G1325" s="10">
        <v>78651.19</v>
      </c>
      <c r="H1325">
        <v>9</v>
      </c>
    </row>
    <row r="1326" spans="1:8" x14ac:dyDescent="0.5">
      <c r="A1326" s="3">
        <v>164</v>
      </c>
      <c r="B1326" s="3">
        <v>18</v>
      </c>
      <c r="C1326" s="3" t="str">
        <f t="shared" si="20"/>
        <v>Young</v>
      </c>
      <c r="D1326" t="s">
        <v>3</v>
      </c>
      <c r="E1326" t="s">
        <v>4</v>
      </c>
      <c r="F1326" s="1">
        <v>45238</v>
      </c>
      <c r="G1326" s="10">
        <v>39953.4</v>
      </c>
      <c r="H1326">
        <v>14</v>
      </c>
    </row>
    <row r="1327" spans="1:8" x14ac:dyDescent="0.5">
      <c r="A1327" s="3">
        <v>467</v>
      </c>
      <c r="B1327" s="3">
        <v>80</v>
      </c>
      <c r="C1327" s="3" t="str">
        <f t="shared" si="20"/>
        <v>Old</v>
      </c>
      <c r="D1327" t="s">
        <v>5</v>
      </c>
      <c r="E1327" t="s">
        <v>0</v>
      </c>
      <c r="F1327" s="1">
        <v>45260</v>
      </c>
      <c r="G1327" s="10">
        <v>69661.710000000006</v>
      </c>
      <c r="H1327">
        <v>6</v>
      </c>
    </row>
    <row r="1328" spans="1:8" x14ac:dyDescent="0.5">
      <c r="A1328" s="3">
        <v>17</v>
      </c>
      <c r="B1328" s="3">
        <v>27</v>
      </c>
      <c r="C1328" s="3" t="str">
        <f t="shared" si="20"/>
        <v>Young</v>
      </c>
      <c r="D1328" t="s">
        <v>3</v>
      </c>
      <c r="E1328" t="s">
        <v>6</v>
      </c>
      <c r="F1328" s="1">
        <v>45313</v>
      </c>
      <c r="G1328" s="10">
        <v>24863.360000000001</v>
      </c>
      <c r="H1328">
        <v>18</v>
      </c>
    </row>
    <row r="1329" spans="1:8" x14ac:dyDescent="0.5">
      <c r="A1329" s="3">
        <v>430</v>
      </c>
      <c r="B1329" s="3">
        <v>69</v>
      </c>
      <c r="C1329" s="3" t="str">
        <f t="shared" si="20"/>
        <v>Old</v>
      </c>
      <c r="D1329" t="s">
        <v>5</v>
      </c>
      <c r="E1329" t="s">
        <v>0</v>
      </c>
      <c r="F1329" s="1">
        <v>45117</v>
      </c>
      <c r="G1329" s="10">
        <v>40676.61</v>
      </c>
      <c r="H1329">
        <v>12</v>
      </c>
    </row>
    <row r="1330" spans="1:8" x14ac:dyDescent="0.5">
      <c r="A1330" s="3">
        <v>150</v>
      </c>
      <c r="B1330" s="3">
        <v>42</v>
      </c>
      <c r="C1330" s="3" t="str">
        <f t="shared" si="20"/>
        <v>Middle Age</v>
      </c>
      <c r="D1330" t="s">
        <v>3</v>
      </c>
      <c r="E1330" t="s">
        <v>2</v>
      </c>
      <c r="F1330" s="1">
        <v>45040</v>
      </c>
      <c r="G1330" s="10">
        <v>69651.929999999993</v>
      </c>
      <c r="H1330">
        <v>8</v>
      </c>
    </row>
    <row r="1331" spans="1:8" x14ac:dyDescent="0.5">
      <c r="A1331" s="3">
        <v>372</v>
      </c>
      <c r="B1331" s="3">
        <v>73</v>
      </c>
      <c r="C1331" s="3" t="str">
        <f t="shared" si="20"/>
        <v>Old</v>
      </c>
      <c r="D1331" t="s">
        <v>3</v>
      </c>
      <c r="E1331" t="s">
        <v>4</v>
      </c>
      <c r="F1331" s="1">
        <v>45013</v>
      </c>
      <c r="G1331" s="10">
        <v>64810.85</v>
      </c>
      <c r="H1331">
        <v>8</v>
      </c>
    </row>
    <row r="1332" spans="1:8" x14ac:dyDescent="0.5">
      <c r="A1332" s="3">
        <v>163</v>
      </c>
      <c r="B1332" s="3">
        <v>45</v>
      </c>
      <c r="C1332" s="3" t="str">
        <f t="shared" si="20"/>
        <v>Middle Age</v>
      </c>
      <c r="D1332" t="s">
        <v>3</v>
      </c>
      <c r="E1332" t="s">
        <v>0</v>
      </c>
      <c r="F1332" s="1">
        <v>45209</v>
      </c>
      <c r="G1332" s="10">
        <v>59639.27</v>
      </c>
      <c r="H1332">
        <v>7</v>
      </c>
    </row>
    <row r="1333" spans="1:8" x14ac:dyDescent="0.5">
      <c r="A1333" s="3">
        <v>53</v>
      </c>
      <c r="B1333" s="3">
        <v>39</v>
      </c>
      <c r="C1333" s="3" t="str">
        <f t="shared" si="20"/>
        <v>Middle Age</v>
      </c>
      <c r="D1333" t="s">
        <v>3</v>
      </c>
      <c r="E1333" t="s">
        <v>2</v>
      </c>
      <c r="F1333" s="1">
        <v>45141</v>
      </c>
      <c r="G1333" s="10">
        <v>5002.71</v>
      </c>
      <c r="H1333">
        <v>0</v>
      </c>
    </row>
    <row r="1334" spans="1:8" x14ac:dyDescent="0.5">
      <c r="A1334" s="3">
        <v>203</v>
      </c>
      <c r="B1334" s="3">
        <v>103</v>
      </c>
      <c r="C1334" s="3" t="str">
        <f t="shared" si="20"/>
        <v>Old</v>
      </c>
      <c r="D1334" t="s">
        <v>3</v>
      </c>
      <c r="E1334" t="s">
        <v>0</v>
      </c>
      <c r="F1334" s="1">
        <v>45125</v>
      </c>
      <c r="G1334" s="10">
        <v>40099.89</v>
      </c>
      <c r="H1334">
        <v>16</v>
      </c>
    </row>
    <row r="1335" spans="1:8" x14ac:dyDescent="0.5">
      <c r="A1335" s="3">
        <v>92</v>
      </c>
      <c r="B1335" s="3">
        <v>18</v>
      </c>
      <c r="C1335" s="3" t="str">
        <f t="shared" si="20"/>
        <v>Young</v>
      </c>
      <c r="D1335" t="s">
        <v>5</v>
      </c>
      <c r="E1335" t="s">
        <v>1</v>
      </c>
      <c r="F1335" s="1">
        <v>45220</v>
      </c>
      <c r="G1335" s="10">
        <v>78766.37</v>
      </c>
      <c r="H1335">
        <v>22</v>
      </c>
    </row>
    <row r="1336" spans="1:8" x14ac:dyDescent="0.5">
      <c r="A1336" s="3">
        <v>122</v>
      </c>
      <c r="B1336" s="3">
        <v>100</v>
      </c>
      <c r="C1336" s="3" t="str">
        <f t="shared" si="20"/>
        <v>Old</v>
      </c>
      <c r="D1336" t="s">
        <v>5</v>
      </c>
      <c r="E1336" t="s">
        <v>0</v>
      </c>
      <c r="F1336" s="1">
        <v>45193</v>
      </c>
      <c r="G1336" s="10">
        <v>42149.24</v>
      </c>
      <c r="H1336">
        <v>18</v>
      </c>
    </row>
    <row r="1337" spans="1:8" x14ac:dyDescent="0.5">
      <c r="A1337" s="3">
        <v>182</v>
      </c>
      <c r="B1337" s="3">
        <v>89</v>
      </c>
      <c r="C1337" s="3" t="str">
        <f t="shared" si="20"/>
        <v>Old</v>
      </c>
      <c r="D1337" t="s">
        <v>3</v>
      </c>
      <c r="E1337" t="s">
        <v>0</v>
      </c>
      <c r="F1337" s="1">
        <v>45049</v>
      </c>
      <c r="G1337" s="10">
        <v>48338.28</v>
      </c>
      <c r="H1337">
        <v>16</v>
      </c>
    </row>
    <row r="1338" spans="1:8" x14ac:dyDescent="0.5">
      <c r="A1338" s="3">
        <v>274</v>
      </c>
      <c r="B1338" s="3">
        <v>24</v>
      </c>
      <c r="C1338" s="3" t="str">
        <f t="shared" si="20"/>
        <v>Young</v>
      </c>
      <c r="D1338" t="s">
        <v>3</v>
      </c>
      <c r="E1338" t="s">
        <v>4</v>
      </c>
      <c r="F1338" s="1">
        <v>45128</v>
      </c>
      <c r="G1338" s="10">
        <v>43570.83</v>
      </c>
      <c r="H1338">
        <v>22</v>
      </c>
    </row>
    <row r="1339" spans="1:8" x14ac:dyDescent="0.5">
      <c r="A1339" s="3">
        <v>456</v>
      </c>
      <c r="B1339" s="3">
        <v>73</v>
      </c>
      <c r="C1339" s="3" t="str">
        <f t="shared" si="20"/>
        <v>Old</v>
      </c>
      <c r="D1339" t="s">
        <v>3</v>
      </c>
      <c r="E1339" t="s">
        <v>4</v>
      </c>
      <c r="F1339" s="1">
        <v>44937</v>
      </c>
      <c r="G1339" s="10">
        <v>24299.43</v>
      </c>
      <c r="H1339">
        <v>19</v>
      </c>
    </row>
    <row r="1340" spans="1:8" x14ac:dyDescent="0.5">
      <c r="A1340" s="3">
        <v>23</v>
      </c>
      <c r="B1340" s="3">
        <v>47</v>
      </c>
      <c r="C1340" s="3" t="str">
        <f t="shared" si="20"/>
        <v>Middle Age</v>
      </c>
      <c r="D1340" t="s">
        <v>3</v>
      </c>
      <c r="E1340" t="s">
        <v>6</v>
      </c>
      <c r="F1340" s="1">
        <v>45088</v>
      </c>
      <c r="G1340" s="10">
        <v>96625.67</v>
      </c>
      <c r="H1340">
        <v>22</v>
      </c>
    </row>
    <row r="1341" spans="1:8" x14ac:dyDescent="0.5">
      <c r="A1341" s="3">
        <v>487</v>
      </c>
      <c r="B1341" s="3">
        <v>83</v>
      </c>
      <c r="C1341" s="3" t="str">
        <f t="shared" si="20"/>
        <v>Old</v>
      </c>
      <c r="D1341" t="s">
        <v>5</v>
      </c>
      <c r="E1341" t="s">
        <v>4</v>
      </c>
      <c r="F1341" s="1">
        <v>45126</v>
      </c>
      <c r="G1341" s="10">
        <v>78240.070000000007</v>
      </c>
      <c r="H1341">
        <v>0</v>
      </c>
    </row>
    <row r="1342" spans="1:8" x14ac:dyDescent="0.5">
      <c r="A1342" s="3">
        <v>304</v>
      </c>
      <c r="B1342" s="3">
        <v>18</v>
      </c>
      <c r="C1342" s="3" t="str">
        <f t="shared" si="20"/>
        <v>Young</v>
      </c>
      <c r="D1342" t="s">
        <v>3</v>
      </c>
      <c r="E1342" t="s">
        <v>2</v>
      </c>
      <c r="F1342" s="1">
        <v>44988</v>
      </c>
      <c r="G1342" s="10">
        <v>94707.03</v>
      </c>
      <c r="H1342">
        <v>7</v>
      </c>
    </row>
    <row r="1343" spans="1:8" x14ac:dyDescent="0.5">
      <c r="A1343" s="3">
        <v>92</v>
      </c>
      <c r="B1343" s="3">
        <v>18</v>
      </c>
      <c r="C1343" s="3" t="str">
        <f t="shared" si="20"/>
        <v>Young</v>
      </c>
      <c r="D1343" t="s">
        <v>5</v>
      </c>
      <c r="E1343" t="s">
        <v>6</v>
      </c>
      <c r="F1343" s="1">
        <v>45056</v>
      </c>
      <c r="G1343" s="10">
        <v>38407.040000000001</v>
      </c>
      <c r="H1343">
        <v>19</v>
      </c>
    </row>
    <row r="1344" spans="1:8" x14ac:dyDescent="0.5">
      <c r="A1344" s="3">
        <v>4</v>
      </c>
      <c r="B1344" s="3">
        <v>99</v>
      </c>
      <c r="C1344" s="3" t="str">
        <f t="shared" si="20"/>
        <v>Old</v>
      </c>
      <c r="D1344" t="s">
        <v>5</v>
      </c>
      <c r="E1344" t="s">
        <v>6</v>
      </c>
      <c r="F1344" s="1">
        <v>45252</v>
      </c>
      <c r="G1344" s="10">
        <v>65872.39</v>
      </c>
      <c r="H1344">
        <v>1</v>
      </c>
    </row>
    <row r="1345" spans="1:8" x14ac:dyDescent="0.5">
      <c r="A1345" s="3">
        <v>206</v>
      </c>
      <c r="B1345" s="3">
        <v>72</v>
      </c>
      <c r="C1345" s="3" t="str">
        <f t="shared" si="20"/>
        <v>Old</v>
      </c>
      <c r="D1345" t="s">
        <v>3</v>
      </c>
      <c r="E1345" t="s">
        <v>1</v>
      </c>
      <c r="F1345" s="1">
        <v>45260</v>
      </c>
      <c r="G1345" s="10">
        <v>56746.18</v>
      </c>
      <c r="H1345">
        <v>20</v>
      </c>
    </row>
    <row r="1346" spans="1:8" x14ac:dyDescent="0.5">
      <c r="A1346" s="3">
        <v>74</v>
      </c>
      <c r="B1346" s="3">
        <v>18</v>
      </c>
      <c r="C1346" s="3" t="str">
        <f t="shared" ref="C1346:C1409" si="21">IF(B1346&lt;=30,"Young", IF(B1346&lt;=55,"Middle Age",IF(B1346&gt;55,"Old","Not found")))</f>
        <v>Young</v>
      </c>
      <c r="D1346" t="s">
        <v>3</v>
      </c>
      <c r="E1346" t="s">
        <v>0</v>
      </c>
      <c r="F1346" s="1">
        <v>45326</v>
      </c>
      <c r="G1346" s="10">
        <v>55858.99</v>
      </c>
      <c r="H1346">
        <v>18</v>
      </c>
    </row>
    <row r="1347" spans="1:8" x14ac:dyDescent="0.5">
      <c r="A1347" s="3">
        <v>474</v>
      </c>
      <c r="B1347" s="3">
        <v>55</v>
      </c>
      <c r="C1347" s="3" t="str">
        <f t="shared" si="21"/>
        <v>Middle Age</v>
      </c>
      <c r="D1347" t="s">
        <v>3</v>
      </c>
      <c r="E1347" t="s">
        <v>6</v>
      </c>
      <c r="F1347" s="1">
        <v>45258</v>
      </c>
      <c r="G1347" s="10">
        <v>51016.04</v>
      </c>
      <c r="H1347">
        <v>1</v>
      </c>
    </row>
    <row r="1348" spans="1:8" x14ac:dyDescent="0.5">
      <c r="A1348" s="3">
        <v>15</v>
      </c>
      <c r="B1348" s="3">
        <v>29</v>
      </c>
      <c r="C1348" s="3" t="str">
        <f t="shared" si="21"/>
        <v>Young</v>
      </c>
      <c r="D1348" t="s">
        <v>3</v>
      </c>
      <c r="E1348" t="s">
        <v>6</v>
      </c>
      <c r="F1348" s="1">
        <v>45208</v>
      </c>
      <c r="G1348" s="10">
        <v>74984.22</v>
      </c>
      <c r="H1348">
        <v>21</v>
      </c>
    </row>
    <row r="1349" spans="1:8" x14ac:dyDescent="0.5">
      <c r="A1349" s="3">
        <v>78</v>
      </c>
      <c r="B1349" s="3">
        <v>37</v>
      </c>
      <c r="C1349" s="3" t="str">
        <f t="shared" si="21"/>
        <v>Middle Age</v>
      </c>
      <c r="D1349" t="s">
        <v>3</v>
      </c>
      <c r="E1349" t="s">
        <v>4</v>
      </c>
      <c r="F1349" s="1">
        <v>44937</v>
      </c>
      <c r="G1349" s="10">
        <v>63809.15</v>
      </c>
      <c r="H1349">
        <v>1</v>
      </c>
    </row>
    <row r="1350" spans="1:8" x14ac:dyDescent="0.5">
      <c r="A1350" s="3">
        <v>298</v>
      </c>
      <c r="B1350" s="3">
        <v>83</v>
      </c>
      <c r="C1350" s="3" t="str">
        <f t="shared" si="21"/>
        <v>Old</v>
      </c>
      <c r="D1350" t="s">
        <v>3</v>
      </c>
      <c r="E1350" t="s">
        <v>4</v>
      </c>
      <c r="F1350" s="1">
        <v>45103</v>
      </c>
      <c r="G1350" s="10">
        <v>80179.66</v>
      </c>
      <c r="H1350">
        <v>22</v>
      </c>
    </row>
    <row r="1351" spans="1:8" x14ac:dyDescent="0.5">
      <c r="A1351" s="3">
        <v>457</v>
      </c>
      <c r="B1351" s="3">
        <v>83</v>
      </c>
      <c r="C1351" s="3" t="str">
        <f t="shared" si="21"/>
        <v>Old</v>
      </c>
      <c r="D1351" t="s">
        <v>3</v>
      </c>
      <c r="E1351" t="s">
        <v>1</v>
      </c>
      <c r="F1351" s="1">
        <v>45239</v>
      </c>
      <c r="G1351" s="10">
        <v>4091.42</v>
      </c>
      <c r="H1351">
        <v>2</v>
      </c>
    </row>
    <row r="1352" spans="1:8" x14ac:dyDescent="0.5">
      <c r="A1352" s="3">
        <v>361</v>
      </c>
      <c r="B1352" s="3">
        <v>27</v>
      </c>
      <c r="C1352" s="3" t="str">
        <f t="shared" si="21"/>
        <v>Young</v>
      </c>
      <c r="D1352" t="s">
        <v>3</v>
      </c>
      <c r="E1352" t="s">
        <v>2</v>
      </c>
      <c r="F1352" s="1">
        <v>45034</v>
      </c>
      <c r="G1352" s="10">
        <v>70194.91</v>
      </c>
      <c r="H1352">
        <v>13</v>
      </c>
    </row>
    <row r="1353" spans="1:8" x14ac:dyDescent="0.5">
      <c r="A1353" s="3">
        <v>487</v>
      </c>
      <c r="B1353" s="3">
        <v>39</v>
      </c>
      <c r="C1353" s="3" t="str">
        <f t="shared" si="21"/>
        <v>Middle Age</v>
      </c>
      <c r="D1353" t="s">
        <v>5</v>
      </c>
      <c r="E1353" t="s">
        <v>4</v>
      </c>
      <c r="F1353" s="1">
        <v>45004</v>
      </c>
      <c r="G1353" s="10">
        <v>13402.79</v>
      </c>
      <c r="H1353">
        <v>17</v>
      </c>
    </row>
    <row r="1354" spans="1:8" x14ac:dyDescent="0.5">
      <c r="A1354" s="3">
        <v>159</v>
      </c>
      <c r="B1354" s="3">
        <v>18</v>
      </c>
      <c r="C1354" s="3" t="str">
        <f t="shared" si="21"/>
        <v>Young</v>
      </c>
      <c r="D1354" t="s">
        <v>5</v>
      </c>
      <c r="E1354" t="s">
        <v>0</v>
      </c>
      <c r="F1354" s="1">
        <v>44947</v>
      </c>
      <c r="G1354" s="10">
        <v>72944.240000000005</v>
      </c>
      <c r="H1354">
        <v>6</v>
      </c>
    </row>
    <row r="1355" spans="1:8" x14ac:dyDescent="0.5">
      <c r="A1355" s="3">
        <v>277</v>
      </c>
      <c r="B1355" s="3">
        <v>46</v>
      </c>
      <c r="C1355" s="3" t="str">
        <f t="shared" si="21"/>
        <v>Middle Age</v>
      </c>
      <c r="D1355" t="s">
        <v>3</v>
      </c>
      <c r="E1355" t="s">
        <v>0</v>
      </c>
      <c r="F1355" s="1">
        <v>45019</v>
      </c>
      <c r="G1355" s="10">
        <v>1298.1099999999999</v>
      </c>
      <c r="H1355">
        <v>12</v>
      </c>
    </row>
    <row r="1356" spans="1:8" x14ac:dyDescent="0.5">
      <c r="A1356" s="3">
        <v>233</v>
      </c>
      <c r="B1356" s="3">
        <v>101</v>
      </c>
      <c r="C1356" s="3" t="str">
        <f t="shared" si="21"/>
        <v>Old</v>
      </c>
      <c r="D1356" t="s">
        <v>3</v>
      </c>
      <c r="E1356" t="s">
        <v>4</v>
      </c>
      <c r="F1356" s="1">
        <v>44935</v>
      </c>
      <c r="G1356" s="10">
        <v>89910.64</v>
      </c>
      <c r="H1356">
        <v>3</v>
      </c>
    </row>
    <row r="1357" spans="1:8" x14ac:dyDescent="0.5">
      <c r="A1357" s="3">
        <v>225</v>
      </c>
      <c r="B1357" s="3">
        <v>18</v>
      </c>
      <c r="C1357" s="3" t="str">
        <f t="shared" si="21"/>
        <v>Young</v>
      </c>
      <c r="D1357" t="s">
        <v>5</v>
      </c>
      <c r="E1357" t="s">
        <v>1</v>
      </c>
      <c r="F1357" s="1">
        <v>44981</v>
      </c>
      <c r="G1357" s="10">
        <v>58772.72</v>
      </c>
      <c r="H1357">
        <v>18</v>
      </c>
    </row>
    <row r="1358" spans="1:8" x14ac:dyDescent="0.5">
      <c r="A1358" s="3">
        <v>346</v>
      </c>
      <c r="B1358" s="3">
        <v>18</v>
      </c>
      <c r="C1358" s="3" t="str">
        <f t="shared" si="21"/>
        <v>Young</v>
      </c>
      <c r="D1358" t="s">
        <v>3</v>
      </c>
      <c r="E1358" t="s">
        <v>6</v>
      </c>
      <c r="F1358" s="1">
        <v>45234</v>
      </c>
      <c r="G1358" s="10">
        <v>16298.99</v>
      </c>
      <c r="H1358">
        <v>17</v>
      </c>
    </row>
    <row r="1359" spans="1:8" x14ac:dyDescent="0.5">
      <c r="A1359" s="3">
        <v>196</v>
      </c>
      <c r="B1359" s="3">
        <v>36</v>
      </c>
      <c r="C1359" s="3" t="str">
        <f t="shared" si="21"/>
        <v>Middle Age</v>
      </c>
      <c r="D1359" t="s">
        <v>5</v>
      </c>
      <c r="E1359" t="s">
        <v>2</v>
      </c>
      <c r="F1359" s="1">
        <v>45247</v>
      </c>
      <c r="G1359" s="10">
        <v>71246.289999999994</v>
      </c>
      <c r="H1359">
        <v>2</v>
      </c>
    </row>
    <row r="1360" spans="1:8" x14ac:dyDescent="0.5">
      <c r="A1360" s="3">
        <v>470</v>
      </c>
      <c r="B1360" s="3">
        <v>56</v>
      </c>
      <c r="C1360" s="3" t="str">
        <f t="shared" si="21"/>
        <v>Old</v>
      </c>
      <c r="D1360" t="s">
        <v>3</v>
      </c>
      <c r="E1360" t="s">
        <v>0</v>
      </c>
      <c r="F1360" s="1">
        <v>45177</v>
      </c>
      <c r="G1360" s="10">
        <v>26416.81</v>
      </c>
      <c r="H1360">
        <v>11</v>
      </c>
    </row>
    <row r="1361" spans="1:8" x14ac:dyDescent="0.5">
      <c r="A1361" s="3">
        <v>134</v>
      </c>
      <c r="B1361" s="3">
        <v>83</v>
      </c>
      <c r="C1361" s="3" t="str">
        <f t="shared" si="21"/>
        <v>Old</v>
      </c>
      <c r="D1361" t="s">
        <v>3</v>
      </c>
      <c r="E1361" t="s">
        <v>1</v>
      </c>
      <c r="F1361" s="1">
        <v>45156</v>
      </c>
      <c r="G1361" s="10">
        <v>99702.35</v>
      </c>
      <c r="H1361">
        <v>14</v>
      </c>
    </row>
    <row r="1362" spans="1:8" x14ac:dyDescent="0.5">
      <c r="A1362" s="3">
        <v>184</v>
      </c>
      <c r="B1362" s="3">
        <v>33</v>
      </c>
      <c r="C1362" s="3" t="str">
        <f t="shared" si="21"/>
        <v>Middle Age</v>
      </c>
      <c r="D1362" t="s">
        <v>3</v>
      </c>
      <c r="E1362" t="s">
        <v>6</v>
      </c>
      <c r="F1362" s="1">
        <v>45150</v>
      </c>
      <c r="G1362" s="10">
        <v>11662.63</v>
      </c>
      <c r="H1362">
        <v>24</v>
      </c>
    </row>
    <row r="1363" spans="1:8" x14ac:dyDescent="0.5">
      <c r="A1363" s="3">
        <v>226</v>
      </c>
      <c r="B1363" s="3">
        <v>22</v>
      </c>
      <c r="C1363" s="3" t="str">
        <f t="shared" si="21"/>
        <v>Young</v>
      </c>
      <c r="D1363" t="s">
        <v>5</v>
      </c>
      <c r="E1363" t="s">
        <v>1</v>
      </c>
      <c r="F1363" s="1">
        <v>44927</v>
      </c>
      <c r="G1363" s="10">
        <v>90978.67</v>
      </c>
      <c r="H1363">
        <v>21</v>
      </c>
    </row>
    <row r="1364" spans="1:8" x14ac:dyDescent="0.5">
      <c r="A1364" s="3">
        <v>137</v>
      </c>
      <c r="B1364" s="3">
        <v>82</v>
      </c>
      <c r="C1364" s="3" t="str">
        <f t="shared" si="21"/>
        <v>Old</v>
      </c>
      <c r="D1364" t="s">
        <v>5</v>
      </c>
      <c r="E1364" t="s">
        <v>2</v>
      </c>
      <c r="F1364" s="1">
        <v>45290</v>
      </c>
      <c r="G1364" s="10">
        <v>64616.68</v>
      </c>
      <c r="H1364">
        <v>4</v>
      </c>
    </row>
    <row r="1365" spans="1:8" x14ac:dyDescent="0.5">
      <c r="A1365" s="3">
        <v>222</v>
      </c>
      <c r="B1365" s="3">
        <v>61</v>
      </c>
      <c r="C1365" s="3" t="str">
        <f t="shared" si="21"/>
        <v>Old</v>
      </c>
      <c r="D1365" t="s">
        <v>5</v>
      </c>
      <c r="E1365" t="s">
        <v>2</v>
      </c>
      <c r="F1365" s="1">
        <v>45325</v>
      </c>
      <c r="G1365" s="10">
        <v>9697.57</v>
      </c>
      <c r="H1365">
        <v>17</v>
      </c>
    </row>
    <row r="1366" spans="1:8" x14ac:dyDescent="0.5">
      <c r="A1366" s="3">
        <v>270</v>
      </c>
      <c r="B1366" s="3">
        <v>18</v>
      </c>
      <c r="C1366" s="3" t="str">
        <f t="shared" si="21"/>
        <v>Young</v>
      </c>
      <c r="D1366" t="s">
        <v>3</v>
      </c>
      <c r="E1366" t="s">
        <v>0</v>
      </c>
      <c r="F1366" s="1">
        <v>45275</v>
      </c>
      <c r="G1366" s="10">
        <v>8196.02</v>
      </c>
      <c r="H1366">
        <v>19</v>
      </c>
    </row>
    <row r="1367" spans="1:8" x14ac:dyDescent="0.5">
      <c r="A1367" s="3">
        <v>240</v>
      </c>
      <c r="B1367" s="3">
        <v>56</v>
      </c>
      <c r="C1367" s="3" t="str">
        <f t="shared" si="21"/>
        <v>Old</v>
      </c>
      <c r="D1367" t="s">
        <v>3</v>
      </c>
      <c r="E1367" t="s">
        <v>0</v>
      </c>
      <c r="F1367" s="1">
        <v>44978</v>
      </c>
      <c r="G1367" s="10">
        <v>2713.45</v>
      </c>
      <c r="H1367">
        <v>7</v>
      </c>
    </row>
    <row r="1368" spans="1:8" x14ac:dyDescent="0.5">
      <c r="A1368" s="3">
        <v>495</v>
      </c>
      <c r="B1368" s="3">
        <v>18</v>
      </c>
      <c r="C1368" s="3" t="str">
        <f t="shared" si="21"/>
        <v>Young</v>
      </c>
      <c r="D1368" t="s">
        <v>5</v>
      </c>
      <c r="E1368" t="s">
        <v>1</v>
      </c>
      <c r="F1368" s="1">
        <v>45241</v>
      </c>
      <c r="G1368" s="10">
        <v>84985.58</v>
      </c>
      <c r="H1368">
        <v>3</v>
      </c>
    </row>
    <row r="1369" spans="1:8" x14ac:dyDescent="0.5">
      <c r="A1369" s="3">
        <v>305</v>
      </c>
      <c r="B1369" s="3">
        <v>83</v>
      </c>
      <c r="C1369" s="3" t="str">
        <f t="shared" si="21"/>
        <v>Old</v>
      </c>
      <c r="D1369" t="s">
        <v>3</v>
      </c>
      <c r="E1369" t="s">
        <v>2</v>
      </c>
      <c r="F1369" s="1">
        <v>45100</v>
      </c>
      <c r="G1369" s="10">
        <v>76345.63</v>
      </c>
      <c r="H1369">
        <v>24</v>
      </c>
    </row>
    <row r="1370" spans="1:8" x14ac:dyDescent="0.5">
      <c r="A1370" s="3">
        <v>40</v>
      </c>
      <c r="B1370" s="3">
        <v>63</v>
      </c>
      <c r="C1370" s="3" t="str">
        <f t="shared" si="21"/>
        <v>Old</v>
      </c>
      <c r="D1370" t="s">
        <v>3</v>
      </c>
      <c r="E1370" t="s">
        <v>6</v>
      </c>
      <c r="F1370" s="1">
        <v>45069</v>
      </c>
      <c r="G1370" s="10">
        <v>84715.66</v>
      </c>
      <c r="H1370">
        <v>27</v>
      </c>
    </row>
    <row r="1371" spans="1:8" x14ac:dyDescent="0.5">
      <c r="A1371" s="3">
        <v>236</v>
      </c>
      <c r="B1371" s="3">
        <v>83</v>
      </c>
      <c r="C1371" s="3" t="str">
        <f t="shared" si="21"/>
        <v>Old</v>
      </c>
      <c r="D1371" t="s">
        <v>3</v>
      </c>
      <c r="E1371" t="s">
        <v>6</v>
      </c>
      <c r="F1371" s="1">
        <v>45193</v>
      </c>
      <c r="G1371" s="10">
        <v>53874.86</v>
      </c>
      <c r="H1371">
        <v>7</v>
      </c>
    </row>
    <row r="1372" spans="1:8" x14ac:dyDescent="0.5">
      <c r="A1372" s="3">
        <v>305</v>
      </c>
      <c r="B1372" s="3">
        <v>83</v>
      </c>
      <c r="C1372" s="3" t="str">
        <f t="shared" si="21"/>
        <v>Old</v>
      </c>
      <c r="D1372" t="s">
        <v>3</v>
      </c>
      <c r="E1372" t="s">
        <v>2</v>
      </c>
      <c r="F1372" s="1">
        <v>45020</v>
      </c>
      <c r="G1372" s="10">
        <v>92417.26</v>
      </c>
      <c r="H1372">
        <v>11</v>
      </c>
    </row>
    <row r="1373" spans="1:8" x14ac:dyDescent="0.5">
      <c r="A1373" s="3">
        <v>30</v>
      </c>
      <c r="B1373" s="3">
        <v>51</v>
      </c>
      <c r="C1373" s="3" t="str">
        <f t="shared" si="21"/>
        <v>Middle Age</v>
      </c>
      <c r="D1373" t="s">
        <v>5</v>
      </c>
      <c r="E1373" t="s">
        <v>6</v>
      </c>
      <c r="F1373" s="1">
        <v>44950</v>
      </c>
      <c r="G1373" s="10">
        <v>34466.269999999997</v>
      </c>
      <c r="H1373">
        <v>15</v>
      </c>
    </row>
    <row r="1374" spans="1:8" x14ac:dyDescent="0.5">
      <c r="A1374" s="3">
        <v>226</v>
      </c>
      <c r="B1374" s="3">
        <v>31</v>
      </c>
      <c r="C1374" s="3" t="str">
        <f t="shared" si="21"/>
        <v>Middle Age</v>
      </c>
      <c r="D1374" t="s">
        <v>3</v>
      </c>
      <c r="E1374" t="s">
        <v>6</v>
      </c>
      <c r="F1374" s="1">
        <v>45038</v>
      </c>
      <c r="G1374" s="10">
        <v>4464.26</v>
      </c>
      <c r="H1374">
        <v>27</v>
      </c>
    </row>
    <row r="1375" spans="1:8" x14ac:dyDescent="0.5">
      <c r="A1375" s="3">
        <v>13</v>
      </c>
      <c r="B1375" s="3">
        <v>45</v>
      </c>
      <c r="C1375" s="3" t="str">
        <f t="shared" si="21"/>
        <v>Middle Age</v>
      </c>
      <c r="D1375" t="s">
        <v>3</v>
      </c>
      <c r="E1375" t="s">
        <v>4</v>
      </c>
      <c r="F1375" s="1">
        <v>44993</v>
      </c>
      <c r="G1375" s="10">
        <v>2940.7</v>
      </c>
      <c r="H1375">
        <v>3</v>
      </c>
    </row>
    <row r="1376" spans="1:8" x14ac:dyDescent="0.5">
      <c r="A1376" s="3">
        <v>169</v>
      </c>
      <c r="B1376" s="3">
        <v>79</v>
      </c>
      <c r="C1376" s="3" t="str">
        <f t="shared" si="21"/>
        <v>Old</v>
      </c>
      <c r="D1376" t="s">
        <v>3</v>
      </c>
      <c r="E1376" t="s">
        <v>0</v>
      </c>
      <c r="F1376" s="1">
        <v>45276</v>
      </c>
      <c r="G1376" s="10">
        <v>26885.06</v>
      </c>
      <c r="H1376">
        <v>24</v>
      </c>
    </row>
    <row r="1377" spans="1:8" x14ac:dyDescent="0.5">
      <c r="A1377" s="3">
        <v>121</v>
      </c>
      <c r="B1377" s="3">
        <v>18</v>
      </c>
      <c r="C1377" s="3" t="str">
        <f t="shared" si="21"/>
        <v>Young</v>
      </c>
      <c r="D1377" t="s">
        <v>3</v>
      </c>
      <c r="E1377" t="s">
        <v>0</v>
      </c>
      <c r="F1377" s="1">
        <v>45172</v>
      </c>
      <c r="G1377" s="10">
        <v>87.6</v>
      </c>
      <c r="H1377">
        <v>23</v>
      </c>
    </row>
    <row r="1378" spans="1:8" x14ac:dyDescent="0.5">
      <c r="A1378" s="3">
        <v>66</v>
      </c>
      <c r="B1378" s="3">
        <v>53</v>
      </c>
      <c r="C1378" s="3" t="str">
        <f t="shared" si="21"/>
        <v>Middle Age</v>
      </c>
      <c r="D1378" t="s">
        <v>3</v>
      </c>
      <c r="E1378" t="s">
        <v>0</v>
      </c>
      <c r="F1378" s="1">
        <v>45194</v>
      </c>
      <c r="G1378" s="10">
        <v>75725.62</v>
      </c>
      <c r="H1378">
        <v>22</v>
      </c>
    </row>
    <row r="1379" spans="1:8" x14ac:dyDescent="0.5">
      <c r="A1379" s="3">
        <v>86</v>
      </c>
      <c r="B1379" s="3">
        <v>18</v>
      </c>
      <c r="C1379" s="3" t="str">
        <f t="shared" si="21"/>
        <v>Young</v>
      </c>
      <c r="D1379" t="s">
        <v>3</v>
      </c>
      <c r="E1379" t="s">
        <v>1</v>
      </c>
      <c r="F1379" s="1">
        <v>44982</v>
      </c>
      <c r="G1379" s="10">
        <v>86596.46</v>
      </c>
      <c r="H1379">
        <v>10</v>
      </c>
    </row>
    <row r="1380" spans="1:8" x14ac:dyDescent="0.5">
      <c r="A1380" s="3">
        <v>220</v>
      </c>
      <c r="B1380" s="3">
        <v>31</v>
      </c>
      <c r="C1380" s="3" t="str">
        <f t="shared" si="21"/>
        <v>Middle Age</v>
      </c>
      <c r="D1380" t="s">
        <v>5</v>
      </c>
      <c r="E1380" t="s">
        <v>0</v>
      </c>
      <c r="F1380" s="1">
        <v>45212</v>
      </c>
      <c r="G1380" s="10">
        <v>91783.08</v>
      </c>
      <c r="H1380">
        <v>7</v>
      </c>
    </row>
    <row r="1381" spans="1:8" x14ac:dyDescent="0.5">
      <c r="A1381" s="3">
        <v>42</v>
      </c>
      <c r="B1381" s="3">
        <v>18</v>
      </c>
      <c r="C1381" s="3" t="str">
        <f t="shared" si="21"/>
        <v>Young</v>
      </c>
      <c r="D1381" t="s">
        <v>3</v>
      </c>
      <c r="E1381" t="s">
        <v>6</v>
      </c>
      <c r="F1381" s="1">
        <v>44946</v>
      </c>
      <c r="G1381" s="10">
        <v>74653.990000000005</v>
      </c>
      <c r="H1381">
        <v>2</v>
      </c>
    </row>
    <row r="1382" spans="1:8" x14ac:dyDescent="0.5">
      <c r="A1382" s="3">
        <v>221</v>
      </c>
      <c r="B1382" s="3">
        <v>58</v>
      </c>
      <c r="C1382" s="3" t="str">
        <f t="shared" si="21"/>
        <v>Old</v>
      </c>
      <c r="D1382" t="s">
        <v>3</v>
      </c>
      <c r="E1382" t="s">
        <v>0</v>
      </c>
      <c r="F1382" s="1">
        <v>45069</v>
      </c>
      <c r="G1382" s="10">
        <v>57106.53</v>
      </c>
      <c r="H1382">
        <v>1</v>
      </c>
    </row>
    <row r="1383" spans="1:8" x14ac:dyDescent="0.5">
      <c r="A1383" s="3">
        <v>98</v>
      </c>
      <c r="B1383" s="3">
        <v>83</v>
      </c>
      <c r="C1383" s="3" t="str">
        <f t="shared" si="21"/>
        <v>Old</v>
      </c>
      <c r="D1383" t="s">
        <v>3</v>
      </c>
      <c r="E1383" t="s">
        <v>0</v>
      </c>
      <c r="F1383" s="1">
        <v>45227</v>
      </c>
      <c r="G1383" s="10">
        <v>98881.48</v>
      </c>
      <c r="H1383">
        <v>3</v>
      </c>
    </row>
    <row r="1384" spans="1:8" x14ac:dyDescent="0.5">
      <c r="A1384" s="3">
        <v>386</v>
      </c>
      <c r="B1384" s="3">
        <v>42</v>
      </c>
      <c r="C1384" s="3" t="str">
        <f t="shared" si="21"/>
        <v>Middle Age</v>
      </c>
      <c r="D1384" t="s">
        <v>5</v>
      </c>
      <c r="E1384" t="s">
        <v>0</v>
      </c>
      <c r="F1384" s="1">
        <v>44972</v>
      </c>
      <c r="G1384" s="10">
        <v>95839.98</v>
      </c>
      <c r="H1384">
        <v>19</v>
      </c>
    </row>
    <row r="1385" spans="1:8" x14ac:dyDescent="0.5">
      <c r="A1385" s="3">
        <v>269</v>
      </c>
      <c r="B1385" s="3">
        <v>18</v>
      </c>
      <c r="C1385" s="3" t="str">
        <f t="shared" si="21"/>
        <v>Young</v>
      </c>
      <c r="D1385" t="s">
        <v>3</v>
      </c>
      <c r="E1385" t="s">
        <v>4</v>
      </c>
      <c r="F1385" s="1">
        <v>45307</v>
      </c>
      <c r="G1385" s="10">
        <v>32739.9</v>
      </c>
      <c r="H1385">
        <v>4</v>
      </c>
    </row>
    <row r="1386" spans="1:8" x14ac:dyDescent="0.5">
      <c r="A1386" s="3">
        <v>474</v>
      </c>
      <c r="B1386" s="3">
        <v>89</v>
      </c>
      <c r="C1386" s="3" t="str">
        <f t="shared" si="21"/>
        <v>Old</v>
      </c>
      <c r="D1386" t="s">
        <v>5</v>
      </c>
      <c r="E1386" t="s">
        <v>2</v>
      </c>
      <c r="F1386" s="1">
        <v>45214</v>
      </c>
      <c r="G1386" s="10">
        <v>24429.1</v>
      </c>
      <c r="H1386">
        <v>8</v>
      </c>
    </row>
    <row r="1387" spans="1:8" x14ac:dyDescent="0.5">
      <c r="A1387" s="3">
        <v>135</v>
      </c>
      <c r="B1387" s="3">
        <v>18</v>
      </c>
      <c r="C1387" s="3" t="str">
        <f t="shared" si="21"/>
        <v>Young</v>
      </c>
      <c r="D1387" t="s">
        <v>3</v>
      </c>
      <c r="E1387" t="s">
        <v>6</v>
      </c>
      <c r="F1387" s="1">
        <v>45104</v>
      </c>
      <c r="G1387" s="10">
        <v>86278.41</v>
      </c>
      <c r="H1387">
        <v>8</v>
      </c>
    </row>
    <row r="1388" spans="1:8" x14ac:dyDescent="0.5">
      <c r="A1388" s="3">
        <v>432</v>
      </c>
      <c r="B1388" s="3">
        <v>18</v>
      </c>
      <c r="C1388" s="3" t="str">
        <f t="shared" si="21"/>
        <v>Young</v>
      </c>
      <c r="D1388" t="s">
        <v>3</v>
      </c>
      <c r="E1388" t="s">
        <v>2</v>
      </c>
      <c r="F1388" s="1">
        <v>45098</v>
      </c>
      <c r="G1388" s="10">
        <v>976.36</v>
      </c>
      <c r="H1388">
        <v>11</v>
      </c>
    </row>
    <row r="1389" spans="1:8" x14ac:dyDescent="0.5">
      <c r="A1389" s="3">
        <v>356</v>
      </c>
      <c r="B1389" s="3">
        <v>102</v>
      </c>
      <c r="C1389" s="3" t="str">
        <f t="shared" si="21"/>
        <v>Old</v>
      </c>
      <c r="D1389" t="s">
        <v>3</v>
      </c>
      <c r="E1389" t="s">
        <v>4</v>
      </c>
      <c r="F1389" s="1">
        <v>44934</v>
      </c>
      <c r="G1389" s="10">
        <v>85042.85</v>
      </c>
      <c r="H1389">
        <v>14</v>
      </c>
    </row>
    <row r="1390" spans="1:8" x14ac:dyDescent="0.5">
      <c r="A1390" s="3">
        <v>124</v>
      </c>
      <c r="B1390" s="3">
        <v>18</v>
      </c>
      <c r="C1390" s="3" t="str">
        <f t="shared" si="21"/>
        <v>Young</v>
      </c>
      <c r="D1390" t="s">
        <v>3</v>
      </c>
      <c r="E1390" t="s">
        <v>0</v>
      </c>
      <c r="F1390" s="1">
        <v>44982</v>
      </c>
      <c r="G1390" s="10">
        <v>16826.259999999998</v>
      </c>
      <c r="H1390">
        <v>16</v>
      </c>
    </row>
    <row r="1391" spans="1:8" x14ac:dyDescent="0.5">
      <c r="A1391" s="3">
        <v>238</v>
      </c>
      <c r="B1391" s="3">
        <v>83</v>
      </c>
      <c r="C1391" s="3" t="str">
        <f t="shared" si="21"/>
        <v>Old</v>
      </c>
      <c r="D1391" t="s">
        <v>5</v>
      </c>
      <c r="E1391" t="s">
        <v>2</v>
      </c>
      <c r="F1391" s="1">
        <v>45129</v>
      </c>
      <c r="G1391" s="10">
        <v>11921.29</v>
      </c>
      <c r="H1391">
        <v>22</v>
      </c>
    </row>
    <row r="1392" spans="1:8" x14ac:dyDescent="0.5">
      <c r="A1392" s="3">
        <v>154</v>
      </c>
      <c r="B1392" s="3">
        <v>92</v>
      </c>
      <c r="C1392" s="3" t="str">
        <f t="shared" si="21"/>
        <v>Old</v>
      </c>
      <c r="D1392" t="s">
        <v>5</v>
      </c>
      <c r="E1392" t="s">
        <v>2</v>
      </c>
      <c r="F1392" s="1">
        <v>45154</v>
      </c>
      <c r="G1392" s="10">
        <v>29421.73</v>
      </c>
      <c r="H1392">
        <v>16</v>
      </c>
    </row>
    <row r="1393" spans="1:8" x14ac:dyDescent="0.5">
      <c r="A1393" s="3">
        <v>382</v>
      </c>
      <c r="B1393" s="3">
        <v>66</v>
      </c>
      <c r="C1393" s="3" t="str">
        <f t="shared" si="21"/>
        <v>Old</v>
      </c>
      <c r="D1393" t="s">
        <v>3</v>
      </c>
      <c r="E1393" t="s">
        <v>4</v>
      </c>
      <c r="F1393" s="1">
        <v>44961</v>
      </c>
      <c r="G1393" s="10">
        <v>40053.1</v>
      </c>
      <c r="H1393">
        <v>17</v>
      </c>
    </row>
    <row r="1394" spans="1:8" x14ac:dyDescent="0.5">
      <c r="A1394" s="3">
        <v>468</v>
      </c>
      <c r="B1394" s="3">
        <v>37</v>
      </c>
      <c r="C1394" s="3" t="str">
        <f t="shared" si="21"/>
        <v>Middle Age</v>
      </c>
      <c r="D1394" t="s">
        <v>5</v>
      </c>
      <c r="E1394" t="s">
        <v>2</v>
      </c>
      <c r="F1394" s="1">
        <v>45254</v>
      </c>
      <c r="G1394" s="10">
        <v>9328.1200000000008</v>
      </c>
      <c r="H1394">
        <v>11</v>
      </c>
    </row>
    <row r="1395" spans="1:8" x14ac:dyDescent="0.5">
      <c r="A1395" s="3">
        <v>215</v>
      </c>
      <c r="B1395" s="3">
        <v>18</v>
      </c>
      <c r="C1395" s="3" t="str">
        <f t="shared" si="21"/>
        <v>Young</v>
      </c>
      <c r="D1395" t="s">
        <v>5</v>
      </c>
      <c r="E1395" t="s">
        <v>6</v>
      </c>
      <c r="F1395" s="1">
        <v>45073</v>
      </c>
      <c r="G1395" s="10">
        <v>82381.08</v>
      </c>
      <c r="H1395">
        <v>19</v>
      </c>
    </row>
    <row r="1396" spans="1:8" x14ac:dyDescent="0.5">
      <c r="A1396" s="3">
        <v>49</v>
      </c>
      <c r="B1396" s="3">
        <v>18</v>
      </c>
      <c r="C1396" s="3" t="str">
        <f t="shared" si="21"/>
        <v>Young</v>
      </c>
      <c r="D1396" t="s">
        <v>3</v>
      </c>
      <c r="E1396" t="s">
        <v>6</v>
      </c>
      <c r="F1396" s="1">
        <v>45108</v>
      </c>
      <c r="G1396" s="10">
        <v>22441.85</v>
      </c>
      <c r="H1396">
        <v>27</v>
      </c>
    </row>
    <row r="1397" spans="1:8" x14ac:dyDescent="0.5">
      <c r="A1397" s="3">
        <v>167</v>
      </c>
      <c r="B1397" s="3">
        <v>18</v>
      </c>
      <c r="C1397" s="3" t="str">
        <f t="shared" si="21"/>
        <v>Young</v>
      </c>
      <c r="D1397" t="s">
        <v>3</v>
      </c>
      <c r="E1397" t="s">
        <v>4</v>
      </c>
      <c r="F1397" s="1">
        <v>45185</v>
      </c>
      <c r="G1397" s="10">
        <v>85444.84</v>
      </c>
      <c r="H1397">
        <v>7</v>
      </c>
    </row>
    <row r="1398" spans="1:8" x14ac:dyDescent="0.5">
      <c r="A1398" s="3">
        <v>183</v>
      </c>
      <c r="B1398" s="3">
        <v>32</v>
      </c>
      <c r="C1398" s="3" t="str">
        <f t="shared" si="21"/>
        <v>Middle Age</v>
      </c>
      <c r="D1398" t="s">
        <v>3</v>
      </c>
      <c r="E1398" t="s">
        <v>2</v>
      </c>
      <c r="F1398" s="1">
        <v>45071</v>
      </c>
      <c r="G1398" s="10">
        <v>99599.75</v>
      </c>
      <c r="H1398">
        <v>1</v>
      </c>
    </row>
    <row r="1399" spans="1:8" x14ac:dyDescent="0.5">
      <c r="A1399" s="3">
        <v>222</v>
      </c>
      <c r="B1399" s="3">
        <v>18</v>
      </c>
      <c r="C1399" s="3" t="str">
        <f t="shared" si="21"/>
        <v>Young</v>
      </c>
      <c r="D1399" t="s">
        <v>3</v>
      </c>
      <c r="E1399" t="s">
        <v>4</v>
      </c>
      <c r="F1399" s="1">
        <v>44965</v>
      </c>
      <c r="G1399" s="10">
        <v>22946.400000000001</v>
      </c>
      <c r="H1399">
        <v>11</v>
      </c>
    </row>
    <row r="1400" spans="1:8" x14ac:dyDescent="0.5">
      <c r="A1400" s="3">
        <v>380</v>
      </c>
      <c r="B1400" s="3">
        <v>92</v>
      </c>
      <c r="C1400" s="3" t="str">
        <f t="shared" si="21"/>
        <v>Old</v>
      </c>
      <c r="D1400" t="s">
        <v>3</v>
      </c>
      <c r="E1400" t="s">
        <v>6</v>
      </c>
      <c r="F1400" s="1">
        <v>44994</v>
      </c>
      <c r="G1400" s="10">
        <v>63377.35</v>
      </c>
      <c r="H1400">
        <v>19</v>
      </c>
    </row>
    <row r="1401" spans="1:8" x14ac:dyDescent="0.5">
      <c r="A1401" s="3">
        <v>97</v>
      </c>
      <c r="B1401" s="3">
        <v>27</v>
      </c>
      <c r="C1401" s="3" t="str">
        <f t="shared" si="21"/>
        <v>Young</v>
      </c>
      <c r="D1401" t="s">
        <v>3</v>
      </c>
      <c r="E1401" t="s">
        <v>6</v>
      </c>
      <c r="F1401" s="1">
        <v>45297</v>
      </c>
      <c r="G1401" s="10">
        <v>22818.75</v>
      </c>
      <c r="H1401">
        <v>16</v>
      </c>
    </row>
    <row r="1402" spans="1:8" x14ac:dyDescent="0.5">
      <c r="A1402" s="3">
        <v>71</v>
      </c>
      <c r="B1402" s="3">
        <v>92</v>
      </c>
      <c r="C1402" s="3" t="str">
        <f t="shared" si="21"/>
        <v>Old</v>
      </c>
      <c r="D1402" t="s">
        <v>3</v>
      </c>
      <c r="E1402" t="s">
        <v>4</v>
      </c>
      <c r="F1402" s="1">
        <v>45206</v>
      </c>
      <c r="G1402" s="10">
        <v>70884.97</v>
      </c>
      <c r="H1402">
        <v>4</v>
      </c>
    </row>
    <row r="1403" spans="1:8" x14ac:dyDescent="0.5">
      <c r="A1403" s="3">
        <v>378</v>
      </c>
      <c r="B1403" s="3">
        <v>18</v>
      </c>
      <c r="C1403" s="3" t="str">
        <f t="shared" si="21"/>
        <v>Young</v>
      </c>
      <c r="D1403" t="s">
        <v>3</v>
      </c>
      <c r="E1403" t="s">
        <v>2</v>
      </c>
      <c r="F1403" s="1">
        <v>45263</v>
      </c>
      <c r="G1403" s="10">
        <v>1116.96</v>
      </c>
      <c r="H1403">
        <v>3</v>
      </c>
    </row>
    <row r="1404" spans="1:8" x14ac:dyDescent="0.5">
      <c r="A1404" s="3">
        <v>125</v>
      </c>
      <c r="B1404" s="3">
        <v>24</v>
      </c>
      <c r="C1404" s="3" t="str">
        <f t="shared" si="21"/>
        <v>Young</v>
      </c>
      <c r="D1404" t="s">
        <v>3</v>
      </c>
      <c r="E1404" t="s">
        <v>4</v>
      </c>
      <c r="F1404" s="1">
        <v>45248</v>
      </c>
      <c r="G1404" s="10">
        <v>79966.8</v>
      </c>
      <c r="H1404">
        <v>2</v>
      </c>
    </row>
    <row r="1405" spans="1:8" x14ac:dyDescent="0.5">
      <c r="A1405" s="3">
        <v>209</v>
      </c>
      <c r="B1405" s="3">
        <v>102</v>
      </c>
      <c r="C1405" s="3" t="str">
        <f t="shared" si="21"/>
        <v>Old</v>
      </c>
      <c r="D1405" t="s">
        <v>5</v>
      </c>
      <c r="E1405" t="s">
        <v>4</v>
      </c>
      <c r="F1405" s="1">
        <v>45220</v>
      </c>
      <c r="G1405" s="10">
        <v>13803.28</v>
      </c>
      <c r="H1405">
        <v>27</v>
      </c>
    </row>
    <row r="1406" spans="1:8" x14ac:dyDescent="0.5">
      <c r="A1406" s="3">
        <v>185</v>
      </c>
      <c r="B1406" s="3">
        <v>92</v>
      </c>
      <c r="C1406" s="3" t="str">
        <f t="shared" si="21"/>
        <v>Old</v>
      </c>
      <c r="D1406" t="s">
        <v>3</v>
      </c>
      <c r="E1406" t="s">
        <v>4</v>
      </c>
      <c r="F1406" s="1">
        <v>45135</v>
      </c>
      <c r="G1406" s="10">
        <v>20507.689999999999</v>
      </c>
      <c r="H1406">
        <v>5</v>
      </c>
    </row>
    <row r="1407" spans="1:8" x14ac:dyDescent="0.5">
      <c r="A1407" s="3">
        <v>334</v>
      </c>
      <c r="B1407" s="3">
        <v>37</v>
      </c>
      <c r="C1407" s="3" t="str">
        <f t="shared" si="21"/>
        <v>Middle Age</v>
      </c>
      <c r="D1407" t="s">
        <v>5</v>
      </c>
      <c r="E1407" t="s">
        <v>1</v>
      </c>
      <c r="F1407" s="1">
        <v>45108</v>
      </c>
      <c r="G1407" s="10">
        <v>99054.69</v>
      </c>
      <c r="H1407">
        <v>23</v>
      </c>
    </row>
    <row r="1408" spans="1:8" x14ac:dyDescent="0.5">
      <c r="A1408" s="3">
        <v>271</v>
      </c>
      <c r="B1408" s="3">
        <v>92</v>
      </c>
      <c r="C1408" s="3" t="str">
        <f t="shared" si="21"/>
        <v>Old</v>
      </c>
      <c r="D1408" t="s">
        <v>3</v>
      </c>
      <c r="E1408" t="s">
        <v>1</v>
      </c>
      <c r="F1408" s="1">
        <v>45295</v>
      </c>
      <c r="G1408" s="10">
        <v>90306.29</v>
      </c>
      <c r="H1408">
        <v>7</v>
      </c>
    </row>
    <row r="1409" spans="1:8" x14ac:dyDescent="0.5">
      <c r="A1409" s="3">
        <v>2</v>
      </c>
      <c r="B1409" s="3">
        <v>87</v>
      </c>
      <c r="C1409" s="3" t="str">
        <f t="shared" si="21"/>
        <v>Old</v>
      </c>
      <c r="D1409" t="s">
        <v>5</v>
      </c>
      <c r="E1409" t="s">
        <v>6</v>
      </c>
      <c r="F1409" s="1">
        <v>45004</v>
      </c>
      <c r="G1409" s="10">
        <v>90955.27</v>
      </c>
      <c r="H1409">
        <v>2</v>
      </c>
    </row>
    <row r="1410" spans="1:8" x14ac:dyDescent="0.5">
      <c r="A1410" s="3">
        <v>210</v>
      </c>
      <c r="B1410" s="3">
        <v>92</v>
      </c>
      <c r="C1410" s="3" t="str">
        <f t="shared" ref="C1410:C1473" si="22">IF(B1410&lt;=30,"Young", IF(B1410&lt;=55,"Middle Age",IF(B1410&gt;55,"Old","Not found")))</f>
        <v>Old</v>
      </c>
      <c r="D1410" t="s">
        <v>3</v>
      </c>
      <c r="E1410" t="s">
        <v>2</v>
      </c>
      <c r="F1410" s="1">
        <v>45271</v>
      </c>
      <c r="G1410" s="10">
        <v>52684.08</v>
      </c>
      <c r="H1410">
        <v>1</v>
      </c>
    </row>
    <row r="1411" spans="1:8" x14ac:dyDescent="0.5">
      <c r="A1411" s="3">
        <v>483</v>
      </c>
      <c r="B1411" s="3">
        <v>37</v>
      </c>
      <c r="C1411" s="3" t="str">
        <f t="shared" si="22"/>
        <v>Middle Age</v>
      </c>
      <c r="D1411" t="s">
        <v>5</v>
      </c>
      <c r="E1411" t="s">
        <v>1</v>
      </c>
      <c r="F1411" s="1">
        <v>45186</v>
      </c>
      <c r="G1411" s="10">
        <v>77928.66</v>
      </c>
      <c r="H1411">
        <v>26</v>
      </c>
    </row>
    <row r="1412" spans="1:8" x14ac:dyDescent="0.5">
      <c r="A1412" s="3">
        <v>354</v>
      </c>
      <c r="B1412" s="3">
        <v>24</v>
      </c>
      <c r="C1412" s="3" t="str">
        <f t="shared" si="22"/>
        <v>Young</v>
      </c>
      <c r="D1412" t="s">
        <v>3</v>
      </c>
      <c r="E1412" t="s">
        <v>1</v>
      </c>
      <c r="F1412" s="1">
        <v>45102</v>
      </c>
      <c r="G1412" s="10">
        <v>55890.78</v>
      </c>
      <c r="H1412">
        <v>27</v>
      </c>
    </row>
    <row r="1413" spans="1:8" x14ac:dyDescent="0.5">
      <c r="A1413" s="3">
        <v>60</v>
      </c>
      <c r="B1413" s="3">
        <v>91</v>
      </c>
      <c r="C1413" s="3" t="str">
        <f t="shared" si="22"/>
        <v>Old</v>
      </c>
      <c r="D1413" t="s">
        <v>3</v>
      </c>
      <c r="E1413" t="s">
        <v>6</v>
      </c>
      <c r="F1413" s="1">
        <v>45213</v>
      </c>
      <c r="G1413" s="10">
        <v>63035.38</v>
      </c>
      <c r="H1413">
        <v>25</v>
      </c>
    </row>
    <row r="1414" spans="1:8" x14ac:dyDescent="0.5">
      <c r="A1414" s="3">
        <v>116</v>
      </c>
      <c r="B1414" s="3">
        <v>24</v>
      </c>
      <c r="C1414" s="3" t="str">
        <f t="shared" si="22"/>
        <v>Young</v>
      </c>
      <c r="D1414" t="s">
        <v>5</v>
      </c>
      <c r="E1414" t="s">
        <v>4</v>
      </c>
      <c r="F1414" s="1">
        <v>45303</v>
      </c>
      <c r="G1414" s="10">
        <v>90436.72</v>
      </c>
      <c r="H1414">
        <v>9</v>
      </c>
    </row>
    <row r="1415" spans="1:8" x14ac:dyDescent="0.5">
      <c r="A1415" s="3">
        <v>449</v>
      </c>
      <c r="B1415" s="3">
        <v>1</v>
      </c>
      <c r="C1415" s="3" t="str">
        <f t="shared" si="22"/>
        <v>Young</v>
      </c>
      <c r="D1415" t="s">
        <v>3</v>
      </c>
      <c r="E1415" t="s">
        <v>0</v>
      </c>
      <c r="F1415" s="1">
        <v>45116</v>
      </c>
      <c r="G1415" s="10">
        <v>24524.48</v>
      </c>
      <c r="H1415">
        <v>14</v>
      </c>
    </row>
    <row r="1416" spans="1:8" x14ac:dyDescent="0.5">
      <c r="A1416" s="3">
        <v>84</v>
      </c>
      <c r="B1416" s="3">
        <v>48</v>
      </c>
      <c r="C1416" s="3" t="str">
        <f t="shared" si="22"/>
        <v>Middle Age</v>
      </c>
      <c r="D1416" t="s">
        <v>3</v>
      </c>
      <c r="E1416" t="s">
        <v>0</v>
      </c>
      <c r="F1416" s="1">
        <v>45272</v>
      </c>
      <c r="G1416" s="10">
        <v>71229.45</v>
      </c>
      <c r="H1416">
        <v>5</v>
      </c>
    </row>
    <row r="1417" spans="1:8" x14ac:dyDescent="0.5">
      <c r="A1417" s="3">
        <v>107</v>
      </c>
      <c r="B1417" s="3">
        <v>28</v>
      </c>
      <c r="C1417" s="3" t="str">
        <f t="shared" si="22"/>
        <v>Young</v>
      </c>
      <c r="D1417" t="s">
        <v>3</v>
      </c>
      <c r="E1417" t="s">
        <v>1</v>
      </c>
      <c r="F1417" s="1">
        <v>44981</v>
      </c>
      <c r="G1417" s="10">
        <v>871.14</v>
      </c>
      <c r="H1417">
        <v>24</v>
      </c>
    </row>
    <row r="1418" spans="1:8" x14ac:dyDescent="0.5">
      <c r="A1418" s="3">
        <v>157</v>
      </c>
      <c r="B1418" s="3">
        <v>65</v>
      </c>
      <c r="C1418" s="3" t="str">
        <f t="shared" si="22"/>
        <v>Old</v>
      </c>
      <c r="D1418" t="s">
        <v>5</v>
      </c>
      <c r="E1418" t="s">
        <v>0</v>
      </c>
      <c r="F1418" s="1">
        <v>45305</v>
      </c>
      <c r="G1418" s="10">
        <v>76470.539999999994</v>
      </c>
      <c r="H1418">
        <v>0</v>
      </c>
    </row>
    <row r="1419" spans="1:8" x14ac:dyDescent="0.5">
      <c r="A1419" s="3">
        <v>262</v>
      </c>
      <c r="B1419" s="3">
        <v>92</v>
      </c>
      <c r="C1419" s="3" t="str">
        <f t="shared" si="22"/>
        <v>Old</v>
      </c>
      <c r="D1419" t="s">
        <v>3</v>
      </c>
      <c r="E1419" t="s">
        <v>0</v>
      </c>
      <c r="F1419" s="1">
        <v>45157</v>
      </c>
      <c r="G1419" s="10">
        <v>93128.82</v>
      </c>
      <c r="H1419">
        <v>1</v>
      </c>
    </row>
    <row r="1420" spans="1:8" x14ac:dyDescent="0.5">
      <c r="A1420" s="3">
        <v>149</v>
      </c>
      <c r="B1420" s="3">
        <v>42</v>
      </c>
      <c r="C1420" s="3" t="str">
        <f t="shared" si="22"/>
        <v>Middle Age</v>
      </c>
      <c r="D1420" t="s">
        <v>3</v>
      </c>
      <c r="E1420" t="s">
        <v>1</v>
      </c>
      <c r="F1420" s="1">
        <v>45165</v>
      </c>
      <c r="G1420" s="10">
        <v>34546.620000000003</v>
      </c>
      <c r="H1420">
        <v>29</v>
      </c>
    </row>
    <row r="1421" spans="1:8" x14ac:dyDescent="0.5">
      <c r="A1421" s="3">
        <v>41</v>
      </c>
      <c r="B1421" s="3">
        <v>98</v>
      </c>
      <c r="C1421" s="3" t="str">
        <f t="shared" si="22"/>
        <v>Old</v>
      </c>
      <c r="D1421" t="s">
        <v>3</v>
      </c>
      <c r="E1421" t="s">
        <v>0</v>
      </c>
      <c r="F1421" s="1">
        <v>45114</v>
      </c>
      <c r="G1421" s="10">
        <v>46825.1</v>
      </c>
      <c r="H1421">
        <v>2</v>
      </c>
    </row>
    <row r="1422" spans="1:8" x14ac:dyDescent="0.5">
      <c r="A1422" s="3">
        <v>450</v>
      </c>
      <c r="B1422" s="3">
        <v>92</v>
      </c>
      <c r="C1422" s="3" t="str">
        <f t="shared" si="22"/>
        <v>Old</v>
      </c>
      <c r="D1422" t="s">
        <v>3</v>
      </c>
      <c r="E1422" t="s">
        <v>6</v>
      </c>
      <c r="F1422" s="1">
        <v>44966</v>
      </c>
      <c r="G1422" s="10">
        <v>1578.77</v>
      </c>
      <c r="H1422">
        <v>4</v>
      </c>
    </row>
    <row r="1423" spans="1:8" x14ac:dyDescent="0.5">
      <c r="A1423" s="3">
        <v>315</v>
      </c>
      <c r="B1423" s="3">
        <v>24</v>
      </c>
      <c r="C1423" s="3" t="str">
        <f t="shared" si="22"/>
        <v>Young</v>
      </c>
      <c r="D1423" t="s">
        <v>5</v>
      </c>
      <c r="E1423" t="s">
        <v>4</v>
      </c>
      <c r="F1423" s="1">
        <v>44981</v>
      </c>
      <c r="G1423" s="10">
        <v>18933.580000000002</v>
      </c>
      <c r="H1423">
        <v>2</v>
      </c>
    </row>
    <row r="1424" spans="1:8" x14ac:dyDescent="0.5">
      <c r="A1424" s="3">
        <v>46</v>
      </c>
      <c r="B1424" s="3">
        <v>74</v>
      </c>
      <c r="C1424" s="3" t="str">
        <f t="shared" si="22"/>
        <v>Old</v>
      </c>
      <c r="D1424" t="s">
        <v>3</v>
      </c>
      <c r="E1424" t="s">
        <v>4</v>
      </c>
      <c r="F1424" s="1">
        <v>45313</v>
      </c>
      <c r="G1424" s="10">
        <v>11553.65</v>
      </c>
      <c r="H1424">
        <v>24</v>
      </c>
    </row>
    <row r="1425" spans="1:8" x14ac:dyDescent="0.5">
      <c r="A1425" s="3">
        <v>336</v>
      </c>
      <c r="B1425" s="3">
        <v>31</v>
      </c>
      <c r="C1425" s="3" t="str">
        <f t="shared" si="22"/>
        <v>Middle Age</v>
      </c>
      <c r="D1425" t="s">
        <v>3</v>
      </c>
      <c r="E1425" t="s">
        <v>1</v>
      </c>
      <c r="F1425" s="1">
        <v>45230</v>
      </c>
      <c r="G1425" s="10">
        <v>51955.96</v>
      </c>
      <c r="H1425">
        <v>2</v>
      </c>
    </row>
    <row r="1426" spans="1:8" x14ac:dyDescent="0.5">
      <c r="A1426" s="3">
        <v>272</v>
      </c>
      <c r="B1426" s="3">
        <v>49</v>
      </c>
      <c r="C1426" s="3" t="str">
        <f t="shared" si="22"/>
        <v>Middle Age</v>
      </c>
      <c r="D1426" t="s">
        <v>5</v>
      </c>
      <c r="E1426" t="s">
        <v>1</v>
      </c>
      <c r="F1426" s="1">
        <v>45048</v>
      </c>
      <c r="G1426" s="10">
        <v>75298.3</v>
      </c>
      <c r="H1426">
        <v>21</v>
      </c>
    </row>
    <row r="1427" spans="1:8" x14ac:dyDescent="0.5">
      <c r="A1427" s="3">
        <v>54</v>
      </c>
      <c r="B1427" s="3">
        <v>24</v>
      </c>
      <c r="C1427" s="3" t="str">
        <f t="shared" si="22"/>
        <v>Young</v>
      </c>
      <c r="D1427" t="s">
        <v>3</v>
      </c>
      <c r="E1427" t="s">
        <v>0</v>
      </c>
      <c r="F1427" s="1">
        <v>45170</v>
      </c>
      <c r="G1427" s="10">
        <v>12229.08</v>
      </c>
      <c r="H1427">
        <v>18</v>
      </c>
    </row>
    <row r="1428" spans="1:8" x14ac:dyDescent="0.5">
      <c r="A1428" s="3">
        <v>82</v>
      </c>
      <c r="B1428" s="3">
        <v>72</v>
      </c>
      <c r="C1428" s="3" t="str">
        <f t="shared" si="22"/>
        <v>Old</v>
      </c>
      <c r="D1428" t="s">
        <v>5</v>
      </c>
      <c r="E1428" t="s">
        <v>1</v>
      </c>
      <c r="F1428" s="1">
        <v>45188</v>
      </c>
      <c r="G1428" s="10">
        <v>19436.09</v>
      </c>
      <c r="H1428">
        <v>4</v>
      </c>
    </row>
    <row r="1429" spans="1:8" x14ac:dyDescent="0.5">
      <c r="A1429" s="3">
        <v>266</v>
      </c>
      <c r="B1429" s="3">
        <v>65</v>
      </c>
      <c r="C1429" s="3" t="str">
        <f t="shared" si="22"/>
        <v>Old</v>
      </c>
      <c r="D1429" t="s">
        <v>3</v>
      </c>
      <c r="E1429" t="s">
        <v>6</v>
      </c>
      <c r="F1429" s="1">
        <v>45005</v>
      </c>
      <c r="G1429" s="10">
        <v>90422.94</v>
      </c>
      <c r="H1429">
        <v>26</v>
      </c>
    </row>
    <row r="1430" spans="1:8" x14ac:dyDescent="0.5">
      <c r="A1430" s="3">
        <v>282</v>
      </c>
      <c r="B1430" s="3">
        <v>35</v>
      </c>
      <c r="C1430" s="3" t="str">
        <f t="shared" si="22"/>
        <v>Middle Age</v>
      </c>
      <c r="D1430" t="s">
        <v>3</v>
      </c>
      <c r="E1430" t="s">
        <v>1</v>
      </c>
      <c r="F1430" s="1">
        <v>45044</v>
      </c>
      <c r="G1430" s="10">
        <v>97670.95</v>
      </c>
      <c r="H1430">
        <v>20</v>
      </c>
    </row>
    <row r="1431" spans="1:8" x14ac:dyDescent="0.5">
      <c r="A1431" s="3">
        <v>290</v>
      </c>
      <c r="B1431" s="3">
        <v>24</v>
      </c>
      <c r="C1431" s="3" t="str">
        <f t="shared" si="22"/>
        <v>Young</v>
      </c>
      <c r="D1431" t="s">
        <v>3</v>
      </c>
      <c r="E1431" t="s">
        <v>1</v>
      </c>
      <c r="F1431" s="1">
        <v>45251</v>
      </c>
      <c r="G1431" s="10">
        <v>64642.31</v>
      </c>
      <c r="H1431">
        <v>25</v>
      </c>
    </row>
    <row r="1432" spans="1:8" x14ac:dyDescent="0.5">
      <c r="A1432" s="3">
        <v>387</v>
      </c>
      <c r="B1432" s="3">
        <v>40</v>
      </c>
      <c r="C1432" s="3" t="str">
        <f t="shared" si="22"/>
        <v>Middle Age</v>
      </c>
      <c r="D1432" t="s">
        <v>3</v>
      </c>
      <c r="E1432" t="s">
        <v>1</v>
      </c>
      <c r="F1432" s="1">
        <v>45270</v>
      </c>
      <c r="G1432" s="10">
        <v>24719.98</v>
      </c>
      <c r="H1432">
        <v>1</v>
      </c>
    </row>
    <row r="1433" spans="1:8" x14ac:dyDescent="0.5">
      <c r="A1433" s="3">
        <v>122</v>
      </c>
      <c r="B1433" s="3">
        <v>24</v>
      </c>
      <c r="C1433" s="3" t="str">
        <f t="shared" si="22"/>
        <v>Young</v>
      </c>
      <c r="D1433" t="s">
        <v>3</v>
      </c>
      <c r="E1433" t="s">
        <v>2</v>
      </c>
      <c r="F1433" s="1">
        <v>44951</v>
      </c>
      <c r="G1433" s="10">
        <v>52082.11</v>
      </c>
      <c r="H1433">
        <v>23</v>
      </c>
    </row>
    <row r="1434" spans="1:8" x14ac:dyDescent="0.5">
      <c r="A1434" s="3">
        <v>39</v>
      </c>
      <c r="B1434" s="3">
        <v>84</v>
      </c>
      <c r="C1434" s="3" t="str">
        <f t="shared" si="22"/>
        <v>Old</v>
      </c>
      <c r="D1434" t="s">
        <v>5</v>
      </c>
      <c r="E1434" t="s">
        <v>6</v>
      </c>
      <c r="F1434" s="1">
        <v>45003</v>
      </c>
      <c r="G1434" s="10">
        <v>49055.56</v>
      </c>
      <c r="H1434">
        <v>27</v>
      </c>
    </row>
    <row r="1435" spans="1:8" x14ac:dyDescent="0.5">
      <c r="A1435" s="3">
        <v>257</v>
      </c>
      <c r="B1435" s="3">
        <v>50</v>
      </c>
      <c r="C1435" s="3" t="str">
        <f t="shared" si="22"/>
        <v>Middle Age</v>
      </c>
      <c r="D1435" t="s">
        <v>3</v>
      </c>
      <c r="E1435" t="s">
        <v>1</v>
      </c>
      <c r="F1435" s="1">
        <v>45050</v>
      </c>
      <c r="G1435" s="10">
        <v>15091.69</v>
      </c>
      <c r="H1435">
        <v>20</v>
      </c>
    </row>
    <row r="1436" spans="1:8" x14ac:dyDescent="0.5">
      <c r="A1436" s="3">
        <v>477</v>
      </c>
      <c r="B1436" s="3">
        <v>92</v>
      </c>
      <c r="C1436" s="3" t="str">
        <f t="shared" si="22"/>
        <v>Old</v>
      </c>
      <c r="D1436" t="s">
        <v>3</v>
      </c>
      <c r="E1436" t="s">
        <v>6</v>
      </c>
      <c r="F1436" s="1">
        <v>45288</v>
      </c>
      <c r="G1436" s="10">
        <v>77977.77</v>
      </c>
      <c r="H1436">
        <v>15</v>
      </c>
    </row>
    <row r="1437" spans="1:8" x14ac:dyDescent="0.5">
      <c r="A1437" s="3">
        <v>321</v>
      </c>
      <c r="B1437" s="3">
        <v>93</v>
      </c>
      <c r="C1437" s="3" t="str">
        <f t="shared" si="22"/>
        <v>Old</v>
      </c>
      <c r="D1437" t="s">
        <v>3</v>
      </c>
      <c r="E1437" t="s">
        <v>2</v>
      </c>
      <c r="F1437" s="1">
        <v>45279</v>
      </c>
      <c r="G1437" s="10">
        <v>37099.410000000003</v>
      </c>
      <c r="H1437">
        <v>7</v>
      </c>
    </row>
    <row r="1438" spans="1:8" x14ac:dyDescent="0.5">
      <c r="A1438" s="3">
        <v>137</v>
      </c>
      <c r="B1438" s="3">
        <v>69</v>
      </c>
      <c r="C1438" s="3" t="str">
        <f t="shared" si="22"/>
        <v>Old</v>
      </c>
      <c r="D1438" t="s">
        <v>3</v>
      </c>
      <c r="E1438" t="s">
        <v>6</v>
      </c>
      <c r="F1438" s="1">
        <v>45194</v>
      </c>
      <c r="G1438" s="10">
        <v>17018.759999999998</v>
      </c>
      <c r="H1438">
        <v>24</v>
      </c>
    </row>
    <row r="1439" spans="1:8" x14ac:dyDescent="0.5">
      <c r="A1439" s="3">
        <v>126</v>
      </c>
      <c r="B1439" s="3">
        <v>88</v>
      </c>
      <c r="C1439" s="3" t="str">
        <f t="shared" si="22"/>
        <v>Old</v>
      </c>
      <c r="D1439" t="s">
        <v>5</v>
      </c>
      <c r="E1439" t="s">
        <v>6</v>
      </c>
      <c r="F1439" s="1">
        <v>44993</v>
      </c>
      <c r="G1439" s="10">
        <v>12758.15</v>
      </c>
      <c r="H1439">
        <v>20</v>
      </c>
    </row>
    <row r="1440" spans="1:8" x14ac:dyDescent="0.5">
      <c r="A1440" s="3">
        <v>221</v>
      </c>
      <c r="B1440" s="3">
        <v>67</v>
      </c>
      <c r="C1440" s="3" t="str">
        <f t="shared" si="22"/>
        <v>Old</v>
      </c>
      <c r="D1440" t="s">
        <v>3</v>
      </c>
      <c r="E1440" t="s">
        <v>0</v>
      </c>
      <c r="F1440" s="1">
        <v>45164</v>
      </c>
      <c r="G1440" s="10">
        <v>79903.240000000005</v>
      </c>
      <c r="H1440">
        <v>2</v>
      </c>
    </row>
    <row r="1441" spans="1:8" x14ac:dyDescent="0.5">
      <c r="A1441" s="3">
        <v>369</v>
      </c>
      <c r="B1441" s="3">
        <v>81</v>
      </c>
      <c r="C1441" s="3" t="str">
        <f t="shared" si="22"/>
        <v>Old</v>
      </c>
      <c r="D1441" t="s">
        <v>3</v>
      </c>
      <c r="E1441" t="s">
        <v>1</v>
      </c>
      <c r="F1441" s="1">
        <v>45048</v>
      </c>
      <c r="G1441" s="10">
        <v>77332.399999999994</v>
      </c>
      <c r="H1441">
        <v>13</v>
      </c>
    </row>
    <row r="1442" spans="1:8" x14ac:dyDescent="0.5">
      <c r="A1442" s="3">
        <v>93</v>
      </c>
      <c r="B1442" s="3">
        <v>77</v>
      </c>
      <c r="C1442" s="3" t="str">
        <f t="shared" si="22"/>
        <v>Old</v>
      </c>
      <c r="D1442" t="s">
        <v>3</v>
      </c>
      <c r="E1442" t="s">
        <v>0</v>
      </c>
      <c r="F1442" s="1">
        <v>45291</v>
      </c>
      <c r="G1442" s="10">
        <v>79303.360000000001</v>
      </c>
      <c r="H1442">
        <v>0</v>
      </c>
    </row>
    <row r="1443" spans="1:8" x14ac:dyDescent="0.5">
      <c r="A1443" s="3">
        <v>225</v>
      </c>
      <c r="B1443" s="3">
        <v>24</v>
      </c>
      <c r="C1443" s="3" t="str">
        <f t="shared" si="22"/>
        <v>Young</v>
      </c>
      <c r="D1443" t="s">
        <v>5</v>
      </c>
      <c r="E1443" t="s">
        <v>0</v>
      </c>
      <c r="F1443" s="1">
        <v>44988</v>
      </c>
      <c r="G1443" s="10">
        <v>82044.490000000005</v>
      </c>
      <c r="H1443">
        <v>23</v>
      </c>
    </row>
    <row r="1444" spans="1:8" x14ac:dyDescent="0.5">
      <c r="A1444" s="3">
        <v>210</v>
      </c>
      <c r="B1444" s="3">
        <v>44</v>
      </c>
      <c r="C1444" s="3" t="str">
        <f t="shared" si="22"/>
        <v>Middle Age</v>
      </c>
      <c r="D1444" t="s">
        <v>3</v>
      </c>
      <c r="E1444" t="s">
        <v>2</v>
      </c>
      <c r="F1444" s="1">
        <v>44993</v>
      </c>
      <c r="G1444" s="10">
        <v>3598.63</v>
      </c>
      <c r="H1444">
        <v>19</v>
      </c>
    </row>
    <row r="1445" spans="1:8" x14ac:dyDescent="0.5">
      <c r="A1445" s="3">
        <v>470</v>
      </c>
      <c r="B1445" s="3">
        <v>92</v>
      </c>
      <c r="C1445" s="3" t="str">
        <f t="shared" si="22"/>
        <v>Old</v>
      </c>
      <c r="D1445" t="s">
        <v>3</v>
      </c>
      <c r="E1445" t="s">
        <v>1</v>
      </c>
      <c r="F1445" s="1">
        <v>45159</v>
      </c>
      <c r="G1445" s="10">
        <v>51130.75</v>
      </c>
      <c r="H1445">
        <v>20</v>
      </c>
    </row>
    <row r="1446" spans="1:8" x14ac:dyDescent="0.5">
      <c r="A1446" s="3">
        <v>226</v>
      </c>
      <c r="B1446" s="3">
        <v>78</v>
      </c>
      <c r="C1446" s="3" t="str">
        <f t="shared" si="22"/>
        <v>Old</v>
      </c>
      <c r="D1446" t="s">
        <v>5</v>
      </c>
      <c r="E1446" t="s">
        <v>1</v>
      </c>
      <c r="F1446" s="1">
        <v>45066</v>
      </c>
      <c r="G1446" s="10">
        <v>68490.179999999993</v>
      </c>
      <c r="H1446">
        <v>10</v>
      </c>
    </row>
    <row r="1447" spans="1:8" x14ac:dyDescent="0.5">
      <c r="A1447" s="3">
        <v>136</v>
      </c>
      <c r="B1447" s="3">
        <v>43</v>
      </c>
      <c r="C1447" s="3" t="str">
        <f t="shared" si="22"/>
        <v>Middle Age</v>
      </c>
      <c r="D1447" t="s">
        <v>3</v>
      </c>
      <c r="E1447" t="s">
        <v>2</v>
      </c>
      <c r="F1447" s="1">
        <v>45006</v>
      </c>
      <c r="G1447" s="10">
        <v>365.28</v>
      </c>
      <c r="H1447">
        <v>22</v>
      </c>
    </row>
    <row r="1448" spans="1:8" x14ac:dyDescent="0.5">
      <c r="A1448" s="3">
        <v>133</v>
      </c>
      <c r="B1448" s="3">
        <v>89</v>
      </c>
      <c r="C1448" s="3" t="str">
        <f t="shared" si="22"/>
        <v>Old</v>
      </c>
      <c r="D1448" t="s">
        <v>3</v>
      </c>
      <c r="E1448" t="s">
        <v>6</v>
      </c>
      <c r="F1448" s="1">
        <v>45167</v>
      </c>
      <c r="G1448" s="10">
        <v>33511.980000000003</v>
      </c>
      <c r="H1448">
        <v>10</v>
      </c>
    </row>
    <row r="1449" spans="1:8" x14ac:dyDescent="0.5">
      <c r="A1449" s="3">
        <v>70</v>
      </c>
      <c r="B1449" s="3">
        <v>59</v>
      </c>
      <c r="C1449" s="3" t="str">
        <f t="shared" si="22"/>
        <v>Old</v>
      </c>
      <c r="D1449" t="s">
        <v>3</v>
      </c>
      <c r="E1449" t="s">
        <v>6</v>
      </c>
      <c r="F1449" s="1">
        <v>45326</v>
      </c>
      <c r="G1449" s="10">
        <v>37273.93</v>
      </c>
      <c r="H1449">
        <v>19</v>
      </c>
    </row>
    <row r="1450" spans="1:8" x14ac:dyDescent="0.5">
      <c r="A1450" s="3">
        <v>317</v>
      </c>
      <c r="B1450" s="3">
        <v>31</v>
      </c>
      <c r="C1450" s="3" t="str">
        <f t="shared" si="22"/>
        <v>Middle Age</v>
      </c>
      <c r="D1450" t="s">
        <v>3</v>
      </c>
      <c r="E1450" t="s">
        <v>4</v>
      </c>
      <c r="F1450" s="1">
        <v>44948</v>
      </c>
      <c r="G1450" s="10">
        <v>85984.02</v>
      </c>
      <c r="H1450">
        <v>12</v>
      </c>
    </row>
    <row r="1451" spans="1:8" x14ac:dyDescent="0.5">
      <c r="A1451" s="3">
        <v>48</v>
      </c>
      <c r="B1451" s="3">
        <v>41</v>
      </c>
      <c r="C1451" s="3" t="str">
        <f t="shared" si="22"/>
        <v>Middle Age</v>
      </c>
      <c r="D1451" t="s">
        <v>5</v>
      </c>
      <c r="E1451" t="s">
        <v>0</v>
      </c>
      <c r="F1451" s="1">
        <v>45132</v>
      </c>
      <c r="G1451" s="10">
        <v>25684.27</v>
      </c>
      <c r="H1451">
        <v>10</v>
      </c>
    </row>
    <row r="1452" spans="1:8" x14ac:dyDescent="0.5">
      <c r="A1452" s="3">
        <v>230</v>
      </c>
      <c r="B1452" s="3">
        <v>101</v>
      </c>
      <c r="C1452" s="3" t="str">
        <f t="shared" si="22"/>
        <v>Old</v>
      </c>
      <c r="D1452" t="s">
        <v>5</v>
      </c>
      <c r="E1452" t="s">
        <v>6</v>
      </c>
      <c r="F1452" s="1">
        <v>45159</v>
      </c>
      <c r="G1452" s="10">
        <v>9769.73</v>
      </c>
      <c r="H1452">
        <v>1</v>
      </c>
    </row>
    <row r="1453" spans="1:8" x14ac:dyDescent="0.5">
      <c r="A1453" s="3">
        <v>319</v>
      </c>
      <c r="B1453" s="3">
        <v>90</v>
      </c>
      <c r="C1453" s="3" t="str">
        <f t="shared" si="22"/>
        <v>Old</v>
      </c>
      <c r="D1453" t="s">
        <v>3</v>
      </c>
      <c r="E1453" t="s">
        <v>2</v>
      </c>
      <c r="F1453" s="1">
        <v>45232</v>
      </c>
      <c r="G1453" s="10">
        <v>49404.99</v>
      </c>
      <c r="H1453">
        <v>3</v>
      </c>
    </row>
    <row r="1454" spans="1:8" x14ac:dyDescent="0.5">
      <c r="A1454" s="3">
        <v>31</v>
      </c>
      <c r="B1454" s="3">
        <v>89</v>
      </c>
      <c r="C1454" s="3" t="str">
        <f t="shared" si="22"/>
        <v>Old</v>
      </c>
      <c r="D1454" t="s">
        <v>5</v>
      </c>
      <c r="E1454" t="s">
        <v>4</v>
      </c>
      <c r="F1454" s="1">
        <v>44997</v>
      </c>
      <c r="G1454" s="10">
        <v>81546.52</v>
      </c>
      <c r="H1454">
        <v>3</v>
      </c>
    </row>
    <row r="1455" spans="1:8" x14ac:dyDescent="0.5">
      <c r="A1455" s="3">
        <v>306</v>
      </c>
      <c r="B1455" s="3">
        <v>24</v>
      </c>
      <c r="C1455" s="3" t="str">
        <f t="shared" si="22"/>
        <v>Young</v>
      </c>
      <c r="D1455" t="s">
        <v>3</v>
      </c>
      <c r="E1455" t="s">
        <v>2</v>
      </c>
      <c r="F1455" s="1">
        <v>45133</v>
      </c>
      <c r="G1455" s="10">
        <v>6640.03</v>
      </c>
      <c r="H1455">
        <v>9</v>
      </c>
    </row>
    <row r="1456" spans="1:8" x14ac:dyDescent="0.5">
      <c r="A1456" s="3">
        <v>478</v>
      </c>
      <c r="B1456" s="3">
        <v>42</v>
      </c>
      <c r="C1456" s="3" t="str">
        <f t="shared" si="22"/>
        <v>Middle Age</v>
      </c>
      <c r="D1456" t="s">
        <v>3</v>
      </c>
      <c r="E1456" t="s">
        <v>0</v>
      </c>
      <c r="F1456" s="1">
        <v>45325</v>
      </c>
      <c r="G1456" s="10">
        <v>24855.05</v>
      </c>
      <c r="H1456">
        <v>1</v>
      </c>
    </row>
    <row r="1457" spans="1:8" x14ac:dyDescent="0.5">
      <c r="A1457" s="3">
        <v>373</v>
      </c>
      <c r="B1457" s="3">
        <v>24</v>
      </c>
      <c r="C1457" s="3" t="str">
        <f t="shared" si="22"/>
        <v>Young</v>
      </c>
      <c r="D1457" t="s">
        <v>3</v>
      </c>
      <c r="E1457" t="s">
        <v>1</v>
      </c>
      <c r="F1457" s="1">
        <v>45045</v>
      </c>
      <c r="G1457" s="10">
        <v>72741.88</v>
      </c>
      <c r="H1457">
        <v>0</v>
      </c>
    </row>
    <row r="1458" spans="1:8" x14ac:dyDescent="0.5">
      <c r="A1458" s="3">
        <v>354</v>
      </c>
      <c r="B1458" s="3">
        <v>82</v>
      </c>
      <c r="C1458" s="3" t="str">
        <f t="shared" si="22"/>
        <v>Old</v>
      </c>
      <c r="D1458" t="s">
        <v>5</v>
      </c>
      <c r="E1458" t="s">
        <v>0</v>
      </c>
      <c r="F1458" s="1">
        <v>45234</v>
      </c>
      <c r="G1458" s="10">
        <v>30172.3</v>
      </c>
      <c r="H1458">
        <v>23</v>
      </c>
    </row>
    <row r="1459" spans="1:8" x14ac:dyDescent="0.5">
      <c r="A1459" s="3">
        <v>383</v>
      </c>
      <c r="B1459" s="3">
        <v>52</v>
      </c>
      <c r="C1459" s="3" t="str">
        <f t="shared" si="22"/>
        <v>Middle Age</v>
      </c>
      <c r="D1459" t="s">
        <v>3</v>
      </c>
      <c r="E1459" t="s">
        <v>6</v>
      </c>
      <c r="F1459" s="1">
        <v>45105</v>
      </c>
      <c r="G1459" s="10">
        <v>26564.93</v>
      </c>
      <c r="H1459">
        <v>3</v>
      </c>
    </row>
    <row r="1460" spans="1:8" x14ac:dyDescent="0.5">
      <c r="A1460" s="3">
        <v>390</v>
      </c>
      <c r="B1460" s="3">
        <v>52</v>
      </c>
      <c r="C1460" s="3" t="str">
        <f t="shared" si="22"/>
        <v>Middle Age</v>
      </c>
      <c r="D1460" t="s">
        <v>3</v>
      </c>
      <c r="E1460" t="s">
        <v>2</v>
      </c>
      <c r="F1460" s="1">
        <v>44968</v>
      </c>
      <c r="G1460" s="10">
        <v>99539.47</v>
      </c>
      <c r="H1460">
        <v>0</v>
      </c>
    </row>
    <row r="1461" spans="1:8" x14ac:dyDescent="0.5">
      <c r="A1461" s="3">
        <v>473</v>
      </c>
      <c r="B1461" s="3">
        <v>54</v>
      </c>
      <c r="C1461" s="3" t="str">
        <f t="shared" si="22"/>
        <v>Middle Age</v>
      </c>
      <c r="D1461" t="s">
        <v>5</v>
      </c>
      <c r="E1461" t="s">
        <v>1</v>
      </c>
      <c r="F1461" s="1">
        <v>45102</v>
      </c>
      <c r="G1461" s="10">
        <v>25313.54</v>
      </c>
      <c r="H1461">
        <v>29</v>
      </c>
    </row>
    <row r="1462" spans="1:8" x14ac:dyDescent="0.5">
      <c r="A1462" s="3">
        <v>62</v>
      </c>
      <c r="B1462" s="3">
        <v>35</v>
      </c>
      <c r="C1462" s="3" t="str">
        <f t="shared" si="22"/>
        <v>Middle Age</v>
      </c>
      <c r="D1462" t="s">
        <v>5</v>
      </c>
      <c r="E1462" t="s">
        <v>1</v>
      </c>
      <c r="F1462" s="1">
        <v>45109</v>
      </c>
      <c r="G1462" s="10">
        <v>43762.32</v>
      </c>
      <c r="H1462">
        <v>23</v>
      </c>
    </row>
    <row r="1463" spans="1:8" x14ac:dyDescent="0.5">
      <c r="A1463" s="3">
        <v>1</v>
      </c>
      <c r="B1463" s="3">
        <v>24</v>
      </c>
      <c r="C1463" s="3" t="str">
        <f t="shared" si="22"/>
        <v>Young</v>
      </c>
      <c r="D1463" t="s">
        <v>3</v>
      </c>
      <c r="E1463" t="s">
        <v>1</v>
      </c>
      <c r="F1463" s="1">
        <v>45052</v>
      </c>
      <c r="G1463" s="10">
        <v>4196.28</v>
      </c>
      <c r="H1463">
        <v>24</v>
      </c>
    </row>
    <row r="1464" spans="1:8" x14ac:dyDescent="0.5">
      <c r="A1464" s="3">
        <v>40</v>
      </c>
      <c r="B1464" s="3">
        <v>24</v>
      </c>
      <c r="C1464" s="3" t="str">
        <f t="shared" si="22"/>
        <v>Young</v>
      </c>
      <c r="D1464" t="s">
        <v>3</v>
      </c>
      <c r="E1464" t="s">
        <v>0</v>
      </c>
      <c r="F1464" s="1">
        <v>45159</v>
      </c>
      <c r="G1464" s="10">
        <v>33754.42</v>
      </c>
      <c r="H1464">
        <v>28</v>
      </c>
    </row>
    <row r="1465" spans="1:8" x14ac:dyDescent="0.5">
      <c r="A1465" s="3">
        <v>401</v>
      </c>
      <c r="B1465" s="3">
        <v>53</v>
      </c>
      <c r="C1465" s="3" t="str">
        <f t="shared" si="22"/>
        <v>Middle Age</v>
      </c>
      <c r="D1465" t="s">
        <v>3</v>
      </c>
      <c r="E1465" t="s">
        <v>4</v>
      </c>
      <c r="F1465" s="1">
        <v>45275</v>
      </c>
      <c r="G1465" s="10">
        <v>37399.08</v>
      </c>
      <c r="H1465">
        <v>7</v>
      </c>
    </row>
    <row r="1466" spans="1:8" x14ac:dyDescent="0.5">
      <c r="A1466" s="3">
        <v>337</v>
      </c>
      <c r="B1466" s="3">
        <v>89</v>
      </c>
      <c r="C1466" s="3" t="str">
        <f t="shared" si="22"/>
        <v>Old</v>
      </c>
      <c r="D1466" t="s">
        <v>3</v>
      </c>
      <c r="E1466" t="s">
        <v>2</v>
      </c>
      <c r="F1466" s="1">
        <v>45145</v>
      </c>
      <c r="G1466" s="10">
        <v>73855.48</v>
      </c>
      <c r="H1466">
        <v>12</v>
      </c>
    </row>
    <row r="1467" spans="1:8" x14ac:dyDescent="0.5">
      <c r="A1467" s="3">
        <v>57</v>
      </c>
      <c r="B1467" s="3">
        <v>33</v>
      </c>
      <c r="C1467" s="3" t="str">
        <f t="shared" si="22"/>
        <v>Middle Age</v>
      </c>
      <c r="D1467" t="s">
        <v>5</v>
      </c>
      <c r="E1467" t="s">
        <v>6</v>
      </c>
      <c r="F1467" s="1">
        <v>45042</v>
      </c>
      <c r="G1467" s="10">
        <v>90586.76</v>
      </c>
      <c r="H1467">
        <v>3</v>
      </c>
    </row>
    <row r="1468" spans="1:8" x14ac:dyDescent="0.5">
      <c r="A1468" s="3">
        <v>333</v>
      </c>
      <c r="B1468" s="3">
        <v>95</v>
      </c>
      <c r="C1468" s="3" t="str">
        <f t="shared" si="22"/>
        <v>Old</v>
      </c>
      <c r="D1468" t="s">
        <v>5</v>
      </c>
      <c r="E1468" t="s">
        <v>6</v>
      </c>
      <c r="F1468" s="1">
        <v>45232</v>
      </c>
      <c r="G1468" s="10">
        <v>2477.21</v>
      </c>
      <c r="H1468">
        <v>18</v>
      </c>
    </row>
    <row r="1469" spans="1:8" x14ac:dyDescent="0.5">
      <c r="A1469" s="3">
        <v>471</v>
      </c>
      <c r="B1469" s="3">
        <v>21</v>
      </c>
      <c r="C1469" s="3" t="str">
        <f t="shared" si="22"/>
        <v>Young</v>
      </c>
      <c r="D1469" t="s">
        <v>5</v>
      </c>
      <c r="E1469" t="s">
        <v>6</v>
      </c>
      <c r="F1469" s="1">
        <v>45143</v>
      </c>
      <c r="G1469" s="10">
        <v>99699.77</v>
      </c>
      <c r="H1469">
        <v>3</v>
      </c>
    </row>
    <row r="1470" spans="1:8" x14ac:dyDescent="0.5">
      <c r="A1470" s="3">
        <v>68</v>
      </c>
      <c r="B1470" s="3">
        <v>89</v>
      </c>
      <c r="C1470" s="3" t="str">
        <f t="shared" si="22"/>
        <v>Old</v>
      </c>
      <c r="D1470" t="s">
        <v>5</v>
      </c>
      <c r="E1470" t="s">
        <v>0</v>
      </c>
      <c r="F1470" s="1">
        <v>45223</v>
      </c>
      <c r="G1470" s="10">
        <v>8552.36</v>
      </c>
      <c r="H1470">
        <v>1</v>
      </c>
    </row>
    <row r="1471" spans="1:8" x14ac:dyDescent="0.5">
      <c r="A1471" s="3">
        <v>85</v>
      </c>
      <c r="B1471" s="3">
        <v>1</v>
      </c>
      <c r="C1471" s="3" t="str">
        <f t="shared" si="22"/>
        <v>Young</v>
      </c>
      <c r="D1471" t="s">
        <v>3</v>
      </c>
      <c r="E1471" t="s">
        <v>4</v>
      </c>
      <c r="F1471" s="1">
        <v>45216</v>
      </c>
      <c r="G1471" s="10">
        <v>87427.81</v>
      </c>
      <c r="H1471">
        <v>0</v>
      </c>
    </row>
    <row r="1472" spans="1:8" x14ac:dyDescent="0.5">
      <c r="A1472" s="3">
        <v>133</v>
      </c>
      <c r="B1472" s="3">
        <v>48</v>
      </c>
      <c r="C1472" s="3" t="str">
        <f t="shared" si="22"/>
        <v>Middle Age</v>
      </c>
      <c r="D1472" t="s">
        <v>3</v>
      </c>
      <c r="E1472" t="s">
        <v>4</v>
      </c>
      <c r="F1472" s="1">
        <v>45157</v>
      </c>
      <c r="G1472" s="10">
        <v>85467.9</v>
      </c>
      <c r="H1472">
        <v>3</v>
      </c>
    </row>
    <row r="1473" spans="1:8" x14ac:dyDescent="0.5">
      <c r="A1473" s="3">
        <v>7</v>
      </c>
      <c r="B1473" s="3">
        <v>36</v>
      </c>
      <c r="C1473" s="3" t="str">
        <f t="shared" si="22"/>
        <v>Middle Age</v>
      </c>
      <c r="D1473" t="s">
        <v>3</v>
      </c>
      <c r="E1473" t="s">
        <v>6</v>
      </c>
      <c r="F1473" s="1">
        <v>45143</v>
      </c>
      <c r="G1473" s="10">
        <v>72016.210000000006</v>
      </c>
      <c r="H1473">
        <v>9</v>
      </c>
    </row>
    <row r="1474" spans="1:8" x14ac:dyDescent="0.5">
      <c r="A1474" s="3">
        <v>166</v>
      </c>
      <c r="B1474" s="3">
        <v>62</v>
      </c>
      <c r="C1474" s="3" t="str">
        <f t="shared" ref="C1474:C1537" si="23">IF(B1474&lt;=30,"Young", IF(B1474&lt;=55,"Middle Age",IF(B1474&gt;55,"Old","Not found")))</f>
        <v>Old</v>
      </c>
      <c r="D1474" t="s">
        <v>3</v>
      </c>
      <c r="E1474" t="s">
        <v>6</v>
      </c>
      <c r="F1474" s="1">
        <v>45058</v>
      </c>
      <c r="G1474" s="10">
        <v>74488.72</v>
      </c>
      <c r="H1474">
        <v>14</v>
      </c>
    </row>
    <row r="1475" spans="1:8" x14ac:dyDescent="0.5">
      <c r="A1475" s="3">
        <v>463</v>
      </c>
      <c r="B1475" s="3">
        <v>89</v>
      </c>
      <c r="C1475" s="3" t="str">
        <f t="shared" si="23"/>
        <v>Old</v>
      </c>
      <c r="D1475" t="s">
        <v>5</v>
      </c>
      <c r="E1475" t="s">
        <v>6</v>
      </c>
      <c r="F1475" s="1">
        <v>45126</v>
      </c>
      <c r="G1475" s="10">
        <v>50142.16</v>
      </c>
      <c r="H1475">
        <v>9</v>
      </c>
    </row>
    <row r="1476" spans="1:8" x14ac:dyDescent="0.5">
      <c r="A1476" s="3">
        <v>245</v>
      </c>
      <c r="B1476" s="3">
        <v>45</v>
      </c>
      <c r="C1476" s="3" t="str">
        <f t="shared" si="23"/>
        <v>Middle Age</v>
      </c>
      <c r="D1476" t="s">
        <v>3</v>
      </c>
      <c r="E1476" t="s">
        <v>6</v>
      </c>
      <c r="F1476" s="1">
        <v>44990</v>
      </c>
      <c r="G1476" s="10">
        <v>34978.1</v>
      </c>
      <c r="H1476">
        <v>19</v>
      </c>
    </row>
    <row r="1477" spans="1:8" x14ac:dyDescent="0.5">
      <c r="A1477" s="3">
        <v>135</v>
      </c>
      <c r="B1477" s="3">
        <v>17</v>
      </c>
      <c r="C1477" s="3" t="str">
        <f t="shared" si="23"/>
        <v>Young</v>
      </c>
      <c r="D1477" t="s">
        <v>5</v>
      </c>
      <c r="E1477" t="s">
        <v>2</v>
      </c>
      <c r="F1477" s="1">
        <v>45111</v>
      </c>
      <c r="G1477" s="10">
        <v>1709.59</v>
      </c>
      <c r="H1477">
        <v>19</v>
      </c>
    </row>
    <row r="1478" spans="1:8" x14ac:dyDescent="0.5">
      <c r="A1478" s="3">
        <v>392</v>
      </c>
      <c r="B1478" s="3">
        <v>89</v>
      </c>
      <c r="C1478" s="3" t="str">
        <f t="shared" si="23"/>
        <v>Old</v>
      </c>
      <c r="D1478" t="s">
        <v>3</v>
      </c>
      <c r="E1478" t="s">
        <v>4</v>
      </c>
      <c r="F1478" s="1">
        <v>44996</v>
      </c>
      <c r="G1478" s="10">
        <v>59102.879999999997</v>
      </c>
      <c r="H1478">
        <v>25</v>
      </c>
    </row>
    <row r="1479" spans="1:8" x14ac:dyDescent="0.5">
      <c r="A1479" s="3">
        <v>7</v>
      </c>
      <c r="B1479" s="3">
        <v>29</v>
      </c>
      <c r="C1479" s="3" t="str">
        <f t="shared" si="23"/>
        <v>Young</v>
      </c>
      <c r="D1479" t="s">
        <v>3</v>
      </c>
      <c r="E1479" t="s">
        <v>6</v>
      </c>
      <c r="F1479" s="1">
        <v>44980</v>
      </c>
      <c r="G1479" s="10">
        <v>81587.7</v>
      </c>
      <c r="H1479">
        <v>3</v>
      </c>
    </row>
    <row r="1480" spans="1:8" x14ac:dyDescent="0.5">
      <c r="A1480" s="3">
        <v>358</v>
      </c>
      <c r="B1480" s="3">
        <v>25</v>
      </c>
      <c r="C1480" s="3" t="str">
        <f t="shared" si="23"/>
        <v>Young</v>
      </c>
      <c r="D1480" t="s">
        <v>5</v>
      </c>
      <c r="E1480" t="s">
        <v>6</v>
      </c>
      <c r="F1480" s="1">
        <v>45010</v>
      </c>
      <c r="G1480" s="10">
        <v>368.62</v>
      </c>
      <c r="H1480">
        <v>2</v>
      </c>
    </row>
    <row r="1481" spans="1:8" x14ac:dyDescent="0.5">
      <c r="A1481" s="3">
        <v>53</v>
      </c>
      <c r="B1481" s="3">
        <v>73</v>
      </c>
      <c r="C1481" s="3" t="str">
        <f t="shared" si="23"/>
        <v>Old</v>
      </c>
      <c r="D1481" t="s">
        <v>3</v>
      </c>
      <c r="E1481" t="s">
        <v>0</v>
      </c>
      <c r="F1481" s="1">
        <v>45154</v>
      </c>
      <c r="G1481" s="10">
        <v>65851.360000000001</v>
      </c>
      <c r="H1481">
        <v>1</v>
      </c>
    </row>
    <row r="1482" spans="1:8" x14ac:dyDescent="0.5">
      <c r="A1482" s="3">
        <v>418</v>
      </c>
      <c r="B1482" s="3">
        <v>62</v>
      </c>
      <c r="C1482" s="3" t="str">
        <f t="shared" si="23"/>
        <v>Old</v>
      </c>
      <c r="D1482" t="s">
        <v>3</v>
      </c>
      <c r="E1482" t="s">
        <v>2</v>
      </c>
      <c r="F1482" s="1">
        <v>44999</v>
      </c>
      <c r="G1482" s="10">
        <v>20198.89</v>
      </c>
      <c r="H1482">
        <v>25</v>
      </c>
    </row>
    <row r="1483" spans="1:8" x14ac:dyDescent="0.5">
      <c r="A1483" s="3">
        <v>175</v>
      </c>
      <c r="B1483" s="3">
        <v>89</v>
      </c>
      <c r="C1483" s="3" t="str">
        <f t="shared" si="23"/>
        <v>Old</v>
      </c>
      <c r="D1483" t="s">
        <v>3</v>
      </c>
      <c r="E1483" t="s">
        <v>0</v>
      </c>
      <c r="F1483" s="1">
        <v>45127</v>
      </c>
      <c r="G1483" s="10">
        <v>92036.56</v>
      </c>
      <c r="H1483">
        <v>22</v>
      </c>
    </row>
    <row r="1484" spans="1:8" x14ac:dyDescent="0.5">
      <c r="A1484" s="3">
        <v>332</v>
      </c>
      <c r="B1484" s="3">
        <v>25</v>
      </c>
      <c r="C1484" s="3" t="str">
        <f t="shared" si="23"/>
        <v>Young</v>
      </c>
      <c r="D1484" t="s">
        <v>5</v>
      </c>
      <c r="E1484" t="s">
        <v>0</v>
      </c>
      <c r="F1484" s="1">
        <v>45063</v>
      </c>
      <c r="G1484" s="10">
        <v>27551.13</v>
      </c>
      <c r="H1484">
        <v>27</v>
      </c>
    </row>
    <row r="1485" spans="1:8" x14ac:dyDescent="0.5">
      <c r="A1485" s="3">
        <v>281</v>
      </c>
      <c r="B1485" s="3">
        <v>70</v>
      </c>
      <c r="C1485" s="3" t="str">
        <f t="shared" si="23"/>
        <v>Old</v>
      </c>
      <c r="D1485" t="s">
        <v>3</v>
      </c>
      <c r="E1485" t="s">
        <v>2</v>
      </c>
      <c r="F1485" s="1">
        <v>45172</v>
      </c>
      <c r="G1485" s="10">
        <v>64576.56</v>
      </c>
      <c r="H1485">
        <v>17</v>
      </c>
    </row>
    <row r="1486" spans="1:8" x14ac:dyDescent="0.5">
      <c r="A1486" s="3">
        <v>49</v>
      </c>
      <c r="B1486" s="3">
        <v>25</v>
      </c>
      <c r="C1486" s="3" t="str">
        <f t="shared" si="23"/>
        <v>Young</v>
      </c>
      <c r="D1486" t="s">
        <v>5</v>
      </c>
      <c r="E1486" t="s">
        <v>4</v>
      </c>
      <c r="F1486" s="1">
        <v>45264</v>
      </c>
      <c r="G1486" s="10">
        <v>75393.210000000006</v>
      </c>
      <c r="H1486">
        <v>11</v>
      </c>
    </row>
    <row r="1487" spans="1:8" x14ac:dyDescent="0.5">
      <c r="A1487" s="3">
        <v>443</v>
      </c>
      <c r="B1487" s="3">
        <v>25</v>
      </c>
      <c r="C1487" s="3" t="str">
        <f t="shared" si="23"/>
        <v>Young</v>
      </c>
      <c r="D1487" t="s">
        <v>5</v>
      </c>
      <c r="E1487" t="s">
        <v>6</v>
      </c>
      <c r="F1487" s="1">
        <v>45010</v>
      </c>
      <c r="G1487" s="10">
        <v>89415.2</v>
      </c>
      <c r="H1487">
        <v>28</v>
      </c>
    </row>
    <row r="1488" spans="1:8" x14ac:dyDescent="0.5">
      <c r="A1488" s="3">
        <v>123</v>
      </c>
      <c r="B1488" s="3">
        <v>88</v>
      </c>
      <c r="C1488" s="3" t="str">
        <f t="shared" si="23"/>
        <v>Old</v>
      </c>
      <c r="D1488" t="s">
        <v>3</v>
      </c>
      <c r="E1488" t="s">
        <v>4</v>
      </c>
      <c r="F1488" s="1">
        <v>45123</v>
      </c>
      <c r="G1488" s="10">
        <v>76417.710000000006</v>
      </c>
      <c r="H1488">
        <v>26</v>
      </c>
    </row>
    <row r="1489" spans="1:8" x14ac:dyDescent="0.5">
      <c r="A1489" s="3">
        <v>144</v>
      </c>
      <c r="B1489" s="3">
        <v>89</v>
      </c>
      <c r="C1489" s="3" t="str">
        <f t="shared" si="23"/>
        <v>Old</v>
      </c>
      <c r="D1489" t="s">
        <v>3</v>
      </c>
      <c r="E1489" t="s">
        <v>4</v>
      </c>
      <c r="F1489" s="1">
        <v>44928</v>
      </c>
      <c r="G1489" s="10">
        <v>87801.12</v>
      </c>
      <c r="H1489">
        <v>25</v>
      </c>
    </row>
    <row r="1490" spans="1:8" x14ac:dyDescent="0.5">
      <c r="A1490" s="3">
        <v>110</v>
      </c>
      <c r="B1490" s="3">
        <v>25</v>
      </c>
      <c r="C1490" s="3" t="str">
        <f t="shared" si="23"/>
        <v>Young</v>
      </c>
      <c r="D1490" t="s">
        <v>5</v>
      </c>
      <c r="E1490" t="s">
        <v>1</v>
      </c>
      <c r="F1490" s="1">
        <v>45073</v>
      </c>
      <c r="G1490" s="10">
        <v>3534.63</v>
      </c>
      <c r="H1490">
        <v>15</v>
      </c>
    </row>
    <row r="1491" spans="1:8" x14ac:dyDescent="0.5">
      <c r="A1491" s="3">
        <v>236</v>
      </c>
      <c r="B1491" s="3">
        <v>68</v>
      </c>
      <c r="C1491" s="3" t="str">
        <f t="shared" si="23"/>
        <v>Old</v>
      </c>
      <c r="D1491" t="s">
        <v>5</v>
      </c>
      <c r="E1491" t="s">
        <v>0</v>
      </c>
      <c r="F1491" s="1">
        <v>45303</v>
      </c>
      <c r="G1491" s="10">
        <v>76150.64</v>
      </c>
      <c r="H1491">
        <v>3</v>
      </c>
    </row>
    <row r="1492" spans="1:8" x14ac:dyDescent="0.5">
      <c r="A1492" s="3">
        <v>80</v>
      </c>
      <c r="B1492" s="3">
        <v>89</v>
      </c>
      <c r="C1492" s="3" t="str">
        <f t="shared" si="23"/>
        <v>Old</v>
      </c>
      <c r="D1492" t="s">
        <v>5</v>
      </c>
      <c r="E1492" t="s">
        <v>0</v>
      </c>
      <c r="F1492" s="1">
        <v>44944</v>
      </c>
      <c r="G1492" s="10">
        <v>44463.7</v>
      </c>
      <c r="H1492">
        <v>5</v>
      </c>
    </row>
    <row r="1493" spans="1:8" x14ac:dyDescent="0.5">
      <c r="A1493" s="3">
        <v>246</v>
      </c>
      <c r="B1493" s="3">
        <v>60</v>
      </c>
      <c r="C1493" s="3" t="str">
        <f t="shared" si="23"/>
        <v>Old</v>
      </c>
      <c r="D1493" t="s">
        <v>3</v>
      </c>
      <c r="E1493" t="s">
        <v>2</v>
      </c>
      <c r="F1493" s="1">
        <v>45171</v>
      </c>
      <c r="G1493" s="10">
        <v>28526.080000000002</v>
      </c>
      <c r="H1493">
        <v>1</v>
      </c>
    </row>
    <row r="1494" spans="1:8" x14ac:dyDescent="0.5">
      <c r="A1494" s="3">
        <v>392</v>
      </c>
      <c r="B1494" s="3">
        <v>27</v>
      </c>
      <c r="C1494" s="3" t="str">
        <f t="shared" si="23"/>
        <v>Young</v>
      </c>
      <c r="D1494" t="s">
        <v>3</v>
      </c>
      <c r="E1494" t="s">
        <v>0</v>
      </c>
      <c r="F1494" s="1">
        <v>45318</v>
      </c>
      <c r="G1494" s="10">
        <v>971.58</v>
      </c>
      <c r="H1494">
        <v>18</v>
      </c>
    </row>
    <row r="1495" spans="1:8" x14ac:dyDescent="0.5">
      <c r="A1495" s="3">
        <v>482</v>
      </c>
      <c r="B1495" s="3">
        <v>46</v>
      </c>
      <c r="C1495" s="3" t="str">
        <f t="shared" si="23"/>
        <v>Middle Age</v>
      </c>
      <c r="D1495" t="s">
        <v>3</v>
      </c>
      <c r="E1495" t="s">
        <v>1</v>
      </c>
      <c r="F1495" s="1">
        <v>44982</v>
      </c>
      <c r="G1495" s="10">
        <v>68550.78</v>
      </c>
      <c r="H1495">
        <v>19</v>
      </c>
    </row>
    <row r="1496" spans="1:8" x14ac:dyDescent="0.5">
      <c r="A1496" s="3">
        <v>158</v>
      </c>
      <c r="B1496" s="3">
        <v>34</v>
      </c>
      <c r="C1496" s="3" t="str">
        <f t="shared" si="23"/>
        <v>Middle Age</v>
      </c>
      <c r="D1496" t="s">
        <v>3</v>
      </c>
      <c r="E1496" t="s">
        <v>6</v>
      </c>
      <c r="F1496" s="1">
        <v>45166</v>
      </c>
      <c r="G1496" s="10">
        <v>12238.96</v>
      </c>
      <c r="H1496">
        <v>2</v>
      </c>
    </row>
    <row r="1497" spans="1:8" x14ac:dyDescent="0.5">
      <c r="A1497" s="3">
        <v>411</v>
      </c>
      <c r="B1497" s="3">
        <v>25</v>
      </c>
      <c r="C1497" s="3" t="str">
        <f t="shared" si="23"/>
        <v>Young</v>
      </c>
      <c r="D1497" t="s">
        <v>5</v>
      </c>
      <c r="E1497" t="s">
        <v>6</v>
      </c>
      <c r="F1497" s="1">
        <v>45149</v>
      </c>
      <c r="G1497" s="10">
        <v>72661.77</v>
      </c>
      <c r="H1497">
        <v>24</v>
      </c>
    </row>
    <row r="1498" spans="1:8" x14ac:dyDescent="0.5">
      <c r="A1498" s="3">
        <v>284</v>
      </c>
      <c r="B1498" s="3">
        <v>26</v>
      </c>
      <c r="C1498" s="3" t="str">
        <f t="shared" si="23"/>
        <v>Young</v>
      </c>
      <c r="D1498" t="s">
        <v>3</v>
      </c>
      <c r="E1498" t="s">
        <v>4</v>
      </c>
      <c r="F1498" s="1">
        <v>44976</v>
      </c>
      <c r="G1498" s="10">
        <v>5187.74</v>
      </c>
      <c r="H1498">
        <v>24</v>
      </c>
    </row>
    <row r="1499" spans="1:8" x14ac:dyDescent="0.5">
      <c r="A1499" s="3">
        <v>432</v>
      </c>
      <c r="B1499" s="3">
        <v>101</v>
      </c>
      <c r="C1499" s="3" t="str">
        <f t="shared" si="23"/>
        <v>Old</v>
      </c>
      <c r="D1499" t="s">
        <v>5</v>
      </c>
      <c r="E1499" t="s">
        <v>6</v>
      </c>
      <c r="F1499" s="1">
        <v>44939</v>
      </c>
      <c r="G1499" s="10">
        <v>52599.12</v>
      </c>
      <c r="H1499">
        <v>23</v>
      </c>
    </row>
    <row r="1500" spans="1:8" x14ac:dyDescent="0.5">
      <c r="A1500" s="3">
        <v>303</v>
      </c>
      <c r="B1500" s="3">
        <v>89</v>
      </c>
      <c r="C1500" s="3" t="str">
        <f t="shared" si="23"/>
        <v>Old</v>
      </c>
      <c r="D1500" t="s">
        <v>5</v>
      </c>
      <c r="E1500" t="s">
        <v>0</v>
      </c>
      <c r="F1500" s="1">
        <v>45297</v>
      </c>
      <c r="G1500" s="10">
        <v>71029.19</v>
      </c>
      <c r="H1500">
        <v>19</v>
      </c>
    </row>
    <row r="1501" spans="1:8" x14ac:dyDescent="0.5">
      <c r="A1501" s="3">
        <v>181</v>
      </c>
      <c r="B1501" s="3">
        <v>26</v>
      </c>
      <c r="C1501" s="3" t="str">
        <f t="shared" si="23"/>
        <v>Young</v>
      </c>
      <c r="D1501" t="s">
        <v>3</v>
      </c>
      <c r="E1501" t="s">
        <v>0</v>
      </c>
      <c r="F1501" s="1">
        <v>45293</v>
      </c>
      <c r="G1501" s="10">
        <v>32021.1</v>
      </c>
      <c r="H1501">
        <v>11</v>
      </c>
    </row>
    <row r="1502" spans="1:8" x14ac:dyDescent="0.5">
      <c r="A1502" s="3">
        <v>463</v>
      </c>
      <c r="B1502" s="3">
        <v>51</v>
      </c>
      <c r="C1502" s="3" t="str">
        <f t="shared" si="23"/>
        <v>Middle Age</v>
      </c>
      <c r="D1502" t="s">
        <v>3</v>
      </c>
      <c r="E1502" t="s">
        <v>4</v>
      </c>
      <c r="F1502" s="1">
        <v>45254</v>
      </c>
      <c r="G1502" s="10">
        <v>87004.33</v>
      </c>
      <c r="H1502">
        <v>11</v>
      </c>
    </row>
    <row r="1503" spans="1:8" x14ac:dyDescent="0.5">
      <c r="A1503" s="3">
        <v>132</v>
      </c>
      <c r="B1503" s="3">
        <v>26</v>
      </c>
      <c r="C1503" s="3" t="str">
        <f t="shared" si="23"/>
        <v>Young</v>
      </c>
      <c r="D1503" t="s">
        <v>3</v>
      </c>
      <c r="E1503" t="s">
        <v>4</v>
      </c>
      <c r="F1503" s="1">
        <v>45033</v>
      </c>
      <c r="G1503" s="10">
        <v>97788.82</v>
      </c>
      <c r="H1503">
        <v>14</v>
      </c>
    </row>
    <row r="1504" spans="1:8" x14ac:dyDescent="0.5">
      <c r="A1504" s="3">
        <v>156</v>
      </c>
      <c r="B1504" s="3">
        <v>78</v>
      </c>
      <c r="C1504" s="3" t="str">
        <f t="shared" si="23"/>
        <v>Old</v>
      </c>
      <c r="D1504" t="s">
        <v>3</v>
      </c>
      <c r="E1504" t="s">
        <v>1</v>
      </c>
      <c r="F1504" s="1">
        <v>44956</v>
      </c>
      <c r="G1504" s="10">
        <v>25469.62</v>
      </c>
      <c r="H1504">
        <v>3</v>
      </c>
    </row>
    <row r="1505" spans="1:8" x14ac:dyDescent="0.5">
      <c r="A1505" s="3">
        <v>145</v>
      </c>
      <c r="B1505" s="3">
        <v>59</v>
      </c>
      <c r="C1505" s="3" t="str">
        <f t="shared" si="23"/>
        <v>Old</v>
      </c>
      <c r="D1505" t="s">
        <v>3</v>
      </c>
      <c r="E1505" t="s">
        <v>6</v>
      </c>
      <c r="F1505" s="1">
        <v>45134</v>
      </c>
      <c r="G1505" s="10">
        <v>3781.91</v>
      </c>
      <c r="H1505">
        <v>14</v>
      </c>
    </row>
    <row r="1506" spans="1:8" x14ac:dyDescent="0.5">
      <c r="A1506" s="3">
        <v>247</v>
      </c>
      <c r="B1506" s="3">
        <v>78</v>
      </c>
      <c r="C1506" s="3" t="str">
        <f t="shared" si="23"/>
        <v>Old</v>
      </c>
      <c r="D1506" t="s">
        <v>3</v>
      </c>
      <c r="E1506" t="s">
        <v>2</v>
      </c>
      <c r="F1506" s="1">
        <v>45220</v>
      </c>
      <c r="G1506" s="10">
        <v>12327.65</v>
      </c>
      <c r="H1506">
        <v>3</v>
      </c>
    </row>
    <row r="1507" spans="1:8" x14ac:dyDescent="0.5">
      <c r="A1507" s="3">
        <v>188</v>
      </c>
      <c r="B1507" s="3">
        <v>26</v>
      </c>
      <c r="C1507" s="3" t="str">
        <f t="shared" si="23"/>
        <v>Young</v>
      </c>
      <c r="D1507" t="s">
        <v>3</v>
      </c>
      <c r="E1507" t="s">
        <v>0</v>
      </c>
      <c r="F1507" s="1">
        <v>45077</v>
      </c>
      <c r="G1507" s="10">
        <v>19317.580000000002</v>
      </c>
      <c r="H1507">
        <v>6</v>
      </c>
    </row>
    <row r="1508" spans="1:8" x14ac:dyDescent="0.5">
      <c r="A1508" s="3">
        <v>461</v>
      </c>
      <c r="B1508" s="3">
        <v>69</v>
      </c>
      <c r="C1508" s="3" t="str">
        <f t="shared" si="23"/>
        <v>Old</v>
      </c>
      <c r="D1508" t="s">
        <v>5</v>
      </c>
      <c r="E1508" t="s">
        <v>2</v>
      </c>
      <c r="F1508" s="1">
        <v>45267</v>
      </c>
      <c r="G1508" s="10">
        <v>96461.46</v>
      </c>
      <c r="H1508">
        <v>9</v>
      </c>
    </row>
    <row r="1509" spans="1:8" x14ac:dyDescent="0.5">
      <c r="A1509" s="3">
        <v>81</v>
      </c>
      <c r="B1509" s="3">
        <v>26</v>
      </c>
      <c r="C1509" s="3" t="str">
        <f t="shared" si="23"/>
        <v>Young</v>
      </c>
      <c r="D1509" t="s">
        <v>3</v>
      </c>
      <c r="E1509" t="s">
        <v>1</v>
      </c>
      <c r="F1509" s="1">
        <v>45108</v>
      </c>
      <c r="G1509" s="10">
        <v>94548.77</v>
      </c>
      <c r="H1509">
        <v>5</v>
      </c>
    </row>
    <row r="1510" spans="1:8" x14ac:dyDescent="0.5">
      <c r="A1510" s="3">
        <v>456</v>
      </c>
      <c r="B1510" s="3">
        <v>84</v>
      </c>
      <c r="C1510" s="3" t="str">
        <f t="shared" si="23"/>
        <v>Old</v>
      </c>
      <c r="D1510" t="s">
        <v>5</v>
      </c>
      <c r="E1510" t="s">
        <v>2</v>
      </c>
      <c r="F1510" s="1">
        <v>45322</v>
      </c>
      <c r="G1510" s="10">
        <v>68916.740000000005</v>
      </c>
      <c r="H1510">
        <v>22</v>
      </c>
    </row>
    <row r="1511" spans="1:8" x14ac:dyDescent="0.5">
      <c r="A1511" s="3">
        <v>486</v>
      </c>
      <c r="B1511" s="3">
        <v>65</v>
      </c>
      <c r="C1511" s="3" t="str">
        <f t="shared" si="23"/>
        <v>Old</v>
      </c>
      <c r="D1511" t="s">
        <v>5</v>
      </c>
      <c r="E1511" t="s">
        <v>2</v>
      </c>
      <c r="F1511" s="1">
        <v>45289</v>
      </c>
      <c r="G1511" s="10">
        <v>421.47</v>
      </c>
      <c r="H1511">
        <v>29</v>
      </c>
    </row>
    <row r="1512" spans="1:8" x14ac:dyDescent="0.5">
      <c r="A1512" s="3">
        <v>328</v>
      </c>
      <c r="B1512" s="3">
        <v>29</v>
      </c>
      <c r="C1512" s="3" t="str">
        <f t="shared" si="23"/>
        <v>Young</v>
      </c>
      <c r="D1512" t="s">
        <v>3</v>
      </c>
      <c r="E1512" t="s">
        <v>2</v>
      </c>
      <c r="F1512" s="1">
        <v>45046</v>
      </c>
      <c r="G1512" s="10">
        <v>63940.29</v>
      </c>
      <c r="H1512">
        <v>24</v>
      </c>
    </row>
    <row r="1513" spans="1:8" x14ac:dyDescent="0.5">
      <c r="A1513" s="3">
        <v>497</v>
      </c>
      <c r="B1513" s="3">
        <v>21</v>
      </c>
      <c r="C1513" s="3" t="str">
        <f t="shared" si="23"/>
        <v>Young</v>
      </c>
      <c r="D1513" t="s">
        <v>5</v>
      </c>
      <c r="E1513" t="s">
        <v>6</v>
      </c>
      <c r="F1513" s="1">
        <v>45174</v>
      </c>
      <c r="G1513" s="10">
        <v>46587.55</v>
      </c>
      <c r="H1513">
        <v>2</v>
      </c>
    </row>
    <row r="1514" spans="1:8" x14ac:dyDescent="0.5">
      <c r="A1514" s="3">
        <v>241</v>
      </c>
      <c r="B1514" s="3">
        <v>29</v>
      </c>
      <c r="C1514" s="3" t="str">
        <f t="shared" si="23"/>
        <v>Young</v>
      </c>
      <c r="D1514" t="s">
        <v>3</v>
      </c>
      <c r="E1514" t="s">
        <v>0</v>
      </c>
      <c r="F1514" s="1">
        <v>44984</v>
      </c>
      <c r="G1514" s="10">
        <v>16996.59</v>
      </c>
      <c r="H1514">
        <v>27</v>
      </c>
    </row>
    <row r="1515" spans="1:8" x14ac:dyDescent="0.5">
      <c r="A1515" s="3">
        <v>78</v>
      </c>
      <c r="B1515" s="3">
        <v>84</v>
      </c>
      <c r="C1515" s="3" t="str">
        <f t="shared" si="23"/>
        <v>Old</v>
      </c>
      <c r="D1515" t="s">
        <v>3</v>
      </c>
      <c r="E1515" t="s">
        <v>6</v>
      </c>
      <c r="F1515" s="1">
        <v>45242</v>
      </c>
      <c r="G1515" s="10">
        <v>10537.95</v>
      </c>
      <c r="H1515">
        <v>26</v>
      </c>
    </row>
    <row r="1516" spans="1:8" x14ac:dyDescent="0.5">
      <c r="A1516" s="3">
        <v>332</v>
      </c>
      <c r="B1516" s="3">
        <v>91</v>
      </c>
      <c r="C1516" s="3" t="str">
        <f t="shared" si="23"/>
        <v>Old</v>
      </c>
      <c r="D1516" t="s">
        <v>3</v>
      </c>
      <c r="E1516" t="s">
        <v>2</v>
      </c>
      <c r="F1516" s="1">
        <v>45156</v>
      </c>
      <c r="G1516" s="10">
        <v>55553</v>
      </c>
      <c r="H1516">
        <v>9</v>
      </c>
    </row>
    <row r="1517" spans="1:8" x14ac:dyDescent="0.5">
      <c r="A1517" s="3">
        <v>251</v>
      </c>
      <c r="B1517" s="3">
        <v>31</v>
      </c>
      <c r="C1517" s="3" t="str">
        <f t="shared" si="23"/>
        <v>Middle Age</v>
      </c>
      <c r="D1517" t="s">
        <v>3</v>
      </c>
      <c r="E1517" t="s">
        <v>1</v>
      </c>
      <c r="F1517" s="1">
        <v>45076</v>
      </c>
      <c r="G1517" s="10">
        <v>97910.3</v>
      </c>
      <c r="H1517">
        <v>2</v>
      </c>
    </row>
    <row r="1518" spans="1:8" x14ac:dyDescent="0.5">
      <c r="A1518" s="3">
        <v>19</v>
      </c>
      <c r="B1518" s="3">
        <v>1</v>
      </c>
      <c r="C1518" s="3" t="str">
        <f t="shared" si="23"/>
        <v>Young</v>
      </c>
      <c r="D1518" t="s">
        <v>3</v>
      </c>
      <c r="E1518" t="s">
        <v>1</v>
      </c>
      <c r="F1518" s="1">
        <v>44955</v>
      </c>
      <c r="G1518" s="10">
        <v>12723.65</v>
      </c>
      <c r="H1518">
        <v>12</v>
      </c>
    </row>
    <row r="1519" spans="1:8" x14ac:dyDescent="0.5">
      <c r="A1519" s="3">
        <v>266</v>
      </c>
      <c r="B1519" s="3">
        <v>71</v>
      </c>
      <c r="C1519" s="3" t="str">
        <f t="shared" si="23"/>
        <v>Old</v>
      </c>
      <c r="D1519" t="s">
        <v>3</v>
      </c>
      <c r="E1519" t="s">
        <v>6</v>
      </c>
      <c r="F1519" s="1">
        <v>45236</v>
      </c>
      <c r="G1519" s="10">
        <v>42446.18</v>
      </c>
      <c r="H1519">
        <v>0</v>
      </c>
    </row>
    <row r="1520" spans="1:8" x14ac:dyDescent="0.5">
      <c r="A1520" s="3">
        <v>301</v>
      </c>
      <c r="B1520" s="3">
        <v>56</v>
      </c>
      <c r="C1520" s="3" t="str">
        <f t="shared" si="23"/>
        <v>Old</v>
      </c>
      <c r="D1520" t="s">
        <v>3</v>
      </c>
      <c r="E1520" t="s">
        <v>4</v>
      </c>
      <c r="F1520" s="1">
        <v>45097</v>
      </c>
      <c r="G1520" s="10">
        <v>394.34</v>
      </c>
      <c r="H1520">
        <v>12</v>
      </c>
    </row>
    <row r="1521" spans="1:8" x14ac:dyDescent="0.5">
      <c r="A1521" s="3">
        <v>127</v>
      </c>
      <c r="B1521" s="3">
        <v>29</v>
      </c>
      <c r="C1521" s="3" t="str">
        <f t="shared" si="23"/>
        <v>Young</v>
      </c>
      <c r="D1521" t="s">
        <v>5</v>
      </c>
      <c r="E1521" t="s">
        <v>0</v>
      </c>
      <c r="F1521" s="1">
        <v>45150</v>
      </c>
      <c r="G1521" s="10">
        <v>28959.26</v>
      </c>
      <c r="H1521">
        <v>10</v>
      </c>
    </row>
    <row r="1522" spans="1:8" x14ac:dyDescent="0.5">
      <c r="A1522" s="3">
        <v>266</v>
      </c>
      <c r="B1522" s="3">
        <v>80</v>
      </c>
      <c r="C1522" s="3" t="str">
        <f t="shared" si="23"/>
        <v>Old</v>
      </c>
      <c r="D1522" t="s">
        <v>5</v>
      </c>
      <c r="E1522" t="s">
        <v>0</v>
      </c>
      <c r="F1522" s="1">
        <v>45199</v>
      </c>
      <c r="G1522" s="10">
        <v>85594</v>
      </c>
      <c r="H1522">
        <v>15</v>
      </c>
    </row>
    <row r="1523" spans="1:8" x14ac:dyDescent="0.5">
      <c r="A1523" s="3">
        <v>131</v>
      </c>
      <c r="B1523" s="3">
        <v>39</v>
      </c>
      <c r="C1523" s="3" t="str">
        <f t="shared" si="23"/>
        <v>Middle Age</v>
      </c>
      <c r="D1523" t="s">
        <v>3</v>
      </c>
      <c r="E1523" t="s">
        <v>4</v>
      </c>
      <c r="F1523" s="1">
        <v>44990</v>
      </c>
      <c r="G1523" s="10">
        <v>63038.83</v>
      </c>
      <c r="H1523">
        <v>21</v>
      </c>
    </row>
    <row r="1524" spans="1:8" x14ac:dyDescent="0.5">
      <c r="A1524" s="3">
        <v>354</v>
      </c>
      <c r="B1524" s="3">
        <v>89</v>
      </c>
      <c r="C1524" s="3" t="str">
        <f t="shared" si="23"/>
        <v>Old</v>
      </c>
      <c r="D1524" t="s">
        <v>5</v>
      </c>
      <c r="E1524" t="s">
        <v>4</v>
      </c>
      <c r="F1524" s="1">
        <v>45292</v>
      </c>
      <c r="G1524" s="10">
        <v>30317.84</v>
      </c>
      <c r="H1524">
        <v>4</v>
      </c>
    </row>
    <row r="1525" spans="1:8" x14ac:dyDescent="0.5">
      <c r="A1525" s="3">
        <v>69</v>
      </c>
      <c r="B1525" s="3">
        <v>89</v>
      </c>
      <c r="C1525" s="3" t="str">
        <f t="shared" si="23"/>
        <v>Old</v>
      </c>
      <c r="D1525" t="s">
        <v>3</v>
      </c>
      <c r="E1525" t="s">
        <v>4</v>
      </c>
      <c r="F1525" s="1">
        <v>45210</v>
      </c>
      <c r="G1525" s="10">
        <v>13940.69</v>
      </c>
      <c r="H1525">
        <v>5</v>
      </c>
    </row>
    <row r="1526" spans="1:8" x14ac:dyDescent="0.5">
      <c r="A1526" s="3">
        <v>259</v>
      </c>
      <c r="B1526" s="3">
        <v>94</v>
      </c>
      <c r="C1526" s="3" t="str">
        <f t="shared" si="23"/>
        <v>Old</v>
      </c>
      <c r="D1526" t="s">
        <v>5</v>
      </c>
      <c r="E1526" t="s">
        <v>4</v>
      </c>
      <c r="F1526" s="1">
        <v>44993</v>
      </c>
      <c r="G1526" s="10">
        <v>87781.15</v>
      </c>
      <c r="H1526">
        <v>2</v>
      </c>
    </row>
    <row r="1527" spans="1:8" x14ac:dyDescent="0.5">
      <c r="A1527" s="3">
        <v>473</v>
      </c>
      <c r="B1527" s="3">
        <v>46</v>
      </c>
      <c r="C1527" s="3" t="str">
        <f t="shared" si="23"/>
        <v>Middle Age</v>
      </c>
      <c r="D1527" t="s">
        <v>3</v>
      </c>
      <c r="E1527" t="s">
        <v>1</v>
      </c>
      <c r="F1527" s="1">
        <v>45323</v>
      </c>
      <c r="G1527" s="10">
        <v>43913.86</v>
      </c>
      <c r="H1527">
        <v>12</v>
      </c>
    </row>
    <row r="1528" spans="1:8" x14ac:dyDescent="0.5">
      <c r="A1528" s="3">
        <v>454</v>
      </c>
      <c r="B1528" s="3">
        <v>29</v>
      </c>
      <c r="C1528" s="3" t="str">
        <f t="shared" si="23"/>
        <v>Young</v>
      </c>
      <c r="D1528" t="s">
        <v>3</v>
      </c>
      <c r="E1528" t="s">
        <v>4</v>
      </c>
      <c r="F1528" s="1">
        <v>45153</v>
      </c>
      <c r="G1528" s="10">
        <v>75416.600000000006</v>
      </c>
      <c r="H1528">
        <v>24</v>
      </c>
    </row>
    <row r="1529" spans="1:8" x14ac:dyDescent="0.5">
      <c r="A1529" s="3">
        <v>323</v>
      </c>
      <c r="B1529" s="3">
        <v>100</v>
      </c>
      <c r="C1529" s="3" t="str">
        <f t="shared" si="23"/>
        <v>Old</v>
      </c>
      <c r="D1529" t="s">
        <v>3</v>
      </c>
      <c r="E1529" t="s">
        <v>4</v>
      </c>
      <c r="F1529" s="1">
        <v>45088</v>
      </c>
      <c r="G1529" s="10">
        <v>62605.31</v>
      </c>
      <c r="H1529">
        <v>16</v>
      </c>
    </row>
    <row r="1530" spans="1:8" x14ac:dyDescent="0.5">
      <c r="A1530" s="3">
        <v>306</v>
      </c>
      <c r="B1530" s="3">
        <v>64</v>
      </c>
      <c r="C1530" s="3" t="str">
        <f t="shared" si="23"/>
        <v>Old</v>
      </c>
      <c r="D1530" t="s">
        <v>3</v>
      </c>
      <c r="E1530" t="s">
        <v>6</v>
      </c>
      <c r="F1530" s="1">
        <v>45110</v>
      </c>
      <c r="G1530" s="10">
        <v>53838.94</v>
      </c>
      <c r="H1530">
        <v>21</v>
      </c>
    </row>
    <row r="1531" spans="1:8" x14ac:dyDescent="0.5">
      <c r="A1531" s="3">
        <v>457</v>
      </c>
      <c r="B1531" s="3">
        <v>104</v>
      </c>
      <c r="C1531" s="3" t="str">
        <f t="shared" si="23"/>
        <v>Old</v>
      </c>
      <c r="D1531" t="s">
        <v>5</v>
      </c>
      <c r="E1531" t="s">
        <v>6</v>
      </c>
      <c r="F1531" s="1">
        <v>45159</v>
      </c>
      <c r="G1531" s="10">
        <v>46004.38</v>
      </c>
      <c r="H1531">
        <v>16</v>
      </c>
    </row>
    <row r="1532" spans="1:8" x14ac:dyDescent="0.5">
      <c r="A1532" s="3">
        <v>195</v>
      </c>
      <c r="B1532" s="3">
        <v>92</v>
      </c>
      <c r="C1532" s="3" t="str">
        <f t="shared" si="23"/>
        <v>Old</v>
      </c>
      <c r="D1532" t="s">
        <v>5</v>
      </c>
      <c r="E1532" t="s">
        <v>1</v>
      </c>
      <c r="F1532" s="1">
        <v>45128</v>
      </c>
      <c r="G1532" s="10">
        <v>6650.61</v>
      </c>
      <c r="H1532">
        <v>0</v>
      </c>
    </row>
    <row r="1533" spans="1:8" x14ac:dyDescent="0.5">
      <c r="A1533" s="3">
        <v>153</v>
      </c>
      <c r="B1533" s="3">
        <v>39</v>
      </c>
      <c r="C1533" s="3" t="str">
        <f t="shared" si="23"/>
        <v>Middle Age</v>
      </c>
      <c r="D1533" t="s">
        <v>3</v>
      </c>
      <c r="E1533" t="s">
        <v>1</v>
      </c>
      <c r="F1533" s="1">
        <v>45075</v>
      </c>
      <c r="G1533" s="10">
        <v>3385.45</v>
      </c>
      <c r="H1533">
        <v>26</v>
      </c>
    </row>
    <row r="1534" spans="1:8" x14ac:dyDescent="0.5">
      <c r="A1534" s="3">
        <v>254</v>
      </c>
      <c r="B1534" s="3">
        <v>56</v>
      </c>
      <c r="C1534" s="3" t="str">
        <f t="shared" si="23"/>
        <v>Old</v>
      </c>
      <c r="D1534" t="s">
        <v>5</v>
      </c>
      <c r="E1534" t="s">
        <v>4</v>
      </c>
      <c r="F1534" s="1">
        <v>45285</v>
      </c>
      <c r="G1534" s="10">
        <v>25106.5</v>
      </c>
      <c r="H1534">
        <v>8</v>
      </c>
    </row>
    <row r="1535" spans="1:8" x14ac:dyDescent="0.5">
      <c r="A1535" s="3">
        <v>255</v>
      </c>
      <c r="B1535" s="3">
        <v>25</v>
      </c>
      <c r="C1535" s="3" t="str">
        <f t="shared" si="23"/>
        <v>Young</v>
      </c>
      <c r="D1535" t="s">
        <v>5</v>
      </c>
      <c r="E1535" t="s">
        <v>2</v>
      </c>
      <c r="F1535" s="1">
        <v>45009</v>
      </c>
      <c r="G1535" s="10">
        <v>36473.120000000003</v>
      </c>
      <c r="H1535">
        <v>17</v>
      </c>
    </row>
    <row r="1536" spans="1:8" x14ac:dyDescent="0.5">
      <c r="A1536" s="3">
        <v>306</v>
      </c>
      <c r="B1536" s="3">
        <v>42</v>
      </c>
      <c r="C1536" s="3" t="str">
        <f t="shared" si="23"/>
        <v>Middle Age</v>
      </c>
      <c r="D1536" t="s">
        <v>3</v>
      </c>
      <c r="E1536" t="s">
        <v>0</v>
      </c>
      <c r="F1536" s="1">
        <v>45232</v>
      </c>
      <c r="G1536" s="10">
        <v>168.56</v>
      </c>
      <c r="H1536">
        <v>2</v>
      </c>
    </row>
    <row r="1537" spans="1:8" x14ac:dyDescent="0.5">
      <c r="A1537" s="3">
        <v>175</v>
      </c>
      <c r="B1537" s="3">
        <v>89</v>
      </c>
      <c r="C1537" s="3" t="str">
        <f t="shared" si="23"/>
        <v>Old</v>
      </c>
      <c r="D1537" t="s">
        <v>5</v>
      </c>
      <c r="E1537" t="s">
        <v>6</v>
      </c>
      <c r="F1537" s="1">
        <v>45266</v>
      </c>
      <c r="G1537" s="10">
        <v>58715.67</v>
      </c>
      <c r="H1537">
        <v>6</v>
      </c>
    </row>
    <row r="1538" spans="1:8" x14ac:dyDescent="0.5">
      <c r="A1538" s="3">
        <v>423</v>
      </c>
      <c r="B1538" s="3">
        <v>25</v>
      </c>
      <c r="C1538" s="3" t="str">
        <f t="shared" ref="C1538:C1588" si="24">IF(B1538&lt;=30,"Young", IF(B1538&lt;=55,"Middle Age",IF(B1538&gt;55,"Old","Not found")))</f>
        <v>Young</v>
      </c>
      <c r="D1538" t="s">
        <v>5</v>
      </c>
      <c r="E1538" t="s">
        <v>2</v>
      </c>
      <c r="F1538" s="1">
        <v>45263</v>
      </c>
      <c r="G1538" s="10">
        <v>4271.34</v>
      </c>
      <c r="H1538">
        <v>12</v>
      </c>
    </row>
    <row r="1539" spans="1:8" x14ac:dyDescent="0.5">
      <c r="A1539" s="3">
        <v>181</v>
      </c>
      <c r="B1539" s="3">
        <v>28</v>
      </c>
      <c r="C1539" s="3" t="str">
        <f t="shared" si="24"/>
        <v>Young</v>
      </c>
      <c r="D1539" t="s">
        <v>3</v>
      </c>
      <c r="E1539" t="s">
        <v>2</v>
      </c>
      <c r="F1539" s="1">
        <v>45102</v>
      </c>
      <c r="G1539" s="10">
        <v>23997.439999999999</v>
      </c>
      <c r="H1539">
        <v>26</v>
      </c>
    </row>
    <row r="1540" spans="1:8" x14ac:dyDescent="0.5">
      <c r="A1540" s="3">
        <v>123</v>
      </c>
      <c r="B1540" s="3">
        <v>81</v>
      </c>
      <c r="C1540" s="3" t="str">
        <f t="shared" si="24"/>
        <v>Old</v>
      </c>
      <c r="D1540" t="s">
        <v>3</v>
      </c>
      <c r="E1540" t="s">
        <v>0</v>
      </c>
      <c r="F1540" s="1">
        <v>45015</v>
      </c>
      <c r="G1540" s="10">
        <v>62743.4</v>
      </c>
      <c r="H1540">
        <v>24</v>
      </c>
    </row>
    <row r="1541" spans="1:8" x14ac:dyDescent="0.5">
      <c r="A1541" s="3">
        <v>203</v>
      </c>
      <c r="B1541" s="3">
        <v>1</v>
      </c>
      <c r="C1541" s="3" t="str">
        <f t="shared" si="24"/>
        <v>Young</v>
      </c>
      <c r="D1541" t="s">
        <v>3</v>
      </c>
      <c r="E1541" t="s">
        <v>2</v>
      </c>
      <c r="F1541" s="1">
        <v>45289</v>
      </c>
      <c r="G1541" s="10">
        <v>78012.56</v>
      </c>
      <c r="H1541">
        <v>15</v>
      </c>
    </row>
    <row r="1542" spans="1:8" x14ac:dyDescent="0.5">
      <c r="A1542" s="3">
        <v>474</v>
      </c>
      <c r="B1542" s="3">
        <v>25</v>
      </c>
      <c r="C1542" s="3" t="str">
        <f t="shared" si="24"/>
        <v>Young</v>
      </c>
      <c r="D1542" t="s">
        <v>3</v>
      </c>
      <c r="E1542" t="s">
        <v>6</v>
      </c>
      <c r="F1542" s="1">
        <v>45180</v>
      </c>
      <c r="G1542" s="10">
        <v>90329.78</v>
      </c>
      <c r="H1542">
        <v>7</v>
      </c>
    </row>
    <row r="1543" spans="1:8" x14ac:dyDescent="0.5">
      <c r="A1543" s="3">
        <v>200</v>
      </c>
      <c r="B1543" s="3">
        <v>61</v>
      </c>
      <c r="C1543" s="3" t="str">
        <f t="shared" si="24"/>
        <v>Old</v>
      </c>
      <c r="D1543" t="s">
        <v>5</v>
      </c>
      <c r="E1543" t="s">
        <v>4</v>
      </c>
      <c r="F1543" s="1">
        <v>45137</v>
      </c>
      <c r="G1543" s="10">
        <v>25547.93</v>
      </c>
      <c r="H1543">
        <v>27</v>
      </c>
    </row>
    <row r="1544" spans="1:8" x14ac:dyDescent="0.5">
      <c r="A1544" s="3">
        <v>408</v>
      </c>
      <c r="B1544" s="3">
        <v>92</v>
      </c>
      <c r="C1544" s="3" t="str">
        <f t="shared" si="24"/>
        <v>Old</v>
      </c>
      <c r="D1544" t="s">
        <v>5</v>
      </c>
      <c r="E1544" t="s">
        <v>1</v>
      </c>
      <c r="F1544" s="1">
        <v>45052</v>
      </c>
      <c r="G1544" s="10">
        <v>86771.95</v>
      </c>
      <c r="H1544">
        <v>4</v>
      </c>
    </row>
    <row r="1545" spans="1:8" x14ac:dyDescent="0.5">
      <c r="A1545" s="3">
        <v>20</v>
      </c>
      <c r="B1545" s="3">
        <v>41</v>
      </c>
      <c r="C1545" s="3" t="str">
        <f t="shared" si="24"/>
        <v>Middle Age</v>
      </c>
      <c r="D1545" t="s">
        <v>3</v>
      </c>
      <c r="E1545" t="s">
        <v>4</v>
      </c>
      <c r="F1545" s="1">
        <v>45043</v>
      </c>
      <c r="G1545" s="10">
        <v>7595.53</v>
      </c>
      <c r="H1545">
        <v>19</v>
      </c>
    </row>
    <row r="1546" spans="1:8" x14ac:dyDescent="0.5">
      <c r="A1546" s="3">
        <v>127</v>
      </c>
      <c r="B1546" s="3">
        <v>53</v>
      </c>
      <c r="C1546" s="3" t="str">
        <f t="shared" si="24"/>
        <v>Middle Age</v>
      </c>
      <c r="D1546" t="s">
        <v>5</v>
      </c>
      <c r="E1546" t="s">
        <v>2</v>
      </c>
      <c r="F1546" s="1">
        <v>45271</v>
      </c>
      <c r="G1546" s="10">
        <v>21960.32</v>
      </c>
      <c r="H1546">
        <v>24</v>
      </c>
    </row>
    <row r="1547" spans="1:8" x14ac:dyDescent="0.5">
      <c r="A1547" s="3">
        <v>131</v>
      </c>
      <c r="B1547" s="3">
        <v>24</v>
      </c>
      <c r="C1547" s="3" t="str">
        <f t="shared" si="24"/>
        <v>Young</v>
      </c>
      <c r="D1547" t="s">
        <v>5</v>
      </c>
      <c r="E1547" t="s">
        <v>2</v>
      </c>
      <c r="F1547" s="1">
        <v>44930</v>
      </c>
      <c r="G1547" s="10">
        <v>38358.660000000003</v>
      </c>
      <c r="H1547">
        <v>29</v>
      </c>
    </row>
    <row r="1548" spans="1:8" x14ac:dyDescent="0.5">
      <c r="A1548" s="3">
        <v>202</v>
      </c>
      <c r="B1548" s="3">
        <v>84</v>
      </c>
      <c r="C1548" s="3" t="str">
        <f t="shared" si="24"/>
        <v>Old</v>
      </c>
      <c r="D1548" t="s">
        <v>3</v>
      </c>
      <c r="E1548" t="s">
        <v>4</v>
      </c>
      <c r="F1548" s="1">
        <v>44943</v>
      </c>
      <c r="G1548" s="10">
        <v>18195.82</v>
      </c>
      <c r="H1548">
        <v>3</v>
      </c>
    </row>
    <row r="1549" spans="1:8" x14ac:dyDescent="0.5">
      <c r="A1549" s="3">
        <v>294</v>
      </c>
      <c r="B1549" s="3">
        <v>44</v>
      </c>
      <c r="C1549" s="3" t="str">
        <f t="shared" si="24"/>
        <v>Middle Age</v>
      </c>
      <c r="D1549" t="s">
        <v>5</v>
      </c>
      <c r="E1549" t="s">
        <v>4</v>
      </c>
      <c r="F1549" s="1">
        <v>44969</v>
      </c>
      <c r="G1549" s="10">
        <v>23233.439999999999</v>
      </c>
      <c r="H1549">
        <v>14</v>
      </c>
    </row>
    <row r="1550" spans="1:8" x14ac:dyDescent="0.5">
      <c r="A1550" s="3">
        <v>300</v>
      </c>
      <c r="B1550" s="3">
        <v>61</v>
      </c>
      <c r="C1550" s="3" t="str">
        <f t="shared" si="24"/>
        <v>Old</v>
      </c>
      <c r="D1550" t="s">
        <v>5</v>
      </c>
      <c r="E1550" t="s">
        <v>4</v>
      </c>
      <c r="F1550" s="1">
        <v>45070</v>
      </c>
      <c r="G1550" s="10">
        <v>6988.16</v>
      </c>
      <c r="H1550">
        <v>1</v>
      </c>
    </row>
    <row r="1551" spans="1:8" x14ac:dyDescent="0.5">
      <c r="A1551" s="3">
        <v>214</v>
      </c>
      <c r="B1551" s="3">
        <v>27</v>
      </c>
      <c r="C1551" s="3" t="str">
        <f t="shared" si="24"/>
        <v>Young</v>
      </c>
      <c r="D1551" t="s">
        <v>5</v>
      </c>
      <c r="E1551" t="s">
        <v>1</v>
      </c>
      <c r="F1551" s="1">
        <v>45264</v>
      </c>
      <c r="G1551" s="10">
        <v>272.83999999999997</v>
      </c>
      <c r="H1551">
        <v>2</v>
      </c>
    </row>
    <row r="1552" spans="1:8" x14ac:dyDescent="0.5">
      <c r="A1552" s="3">
        <v>182</v>
      </c>
      <c r="B1552" s="3">
        <v>80</v>
      </c>
      <c r="C1552" s="3" t="str">
        <f t="shared" si="24"/>
        <v>Old</v>
      </c>
      <c r="D1552" t="s">
        <v>3</v>
      </c>
      <c r="E1552" t="s">
        <v>4</v>
      </c>
      <c r="F1552" s="1">
        <v>45197</v>
      </c>
      <c r="G1552" s="10">
        <v>72547.820000000007</v>
      </c>
      <c r="H1552">
        <v>5</v>
      </c>
    </row>
    <row r="1553" spans="1:8" x14ac:dyDescent="0.5">
      <c r="A1553" s="3">
        <v>176</v>
      </c>
      <c r="B1553" s="3">
        <v>61</v>
      </c>
      <c r="C1553" s="3" t="str">
        <f t="shared" si="24"/>
        <v>Old</v>
      </c>
      <c r="D1553" t="s">
        <v>5</v>
      </c>
      <c r="E1553" t="s">
        <v>1</v>
      </c>
      <c r="F1553" s="1">
        <v>45137</v>
      </c>
      <c r="G1553" s="10">
        <v>28198.69</v>
      </c>
      <c r="H1553">
        <v>3</v>
      </c>
    </row>
    <row r="1554" spans="1:8" x14ac:dyDescent="0.5">
      <c r="A1554" s="3">
        <v>137</v>
      </c>
      <c r="B1554" s="3">
        <v>28</v>
      </c>
      <c r="C1554" s="3" t="str">
        <f t="shared" si="24"/>
        <v>Young</v>
      </c>
      <c r="D1554" t="s">
        <v>3</v>
      </c>
      <c r="E1554" t="s">
        <v>6</v>
      </c>
      <c r="F1554" s="1">
        <v>45168</v>
      </c>
      <c r="G1554" s="10">
        <v>23463.84</v>
      </c>
      <c r="H1554">
        <v>18</v>
      </c>
    </row>
    <row r="1555" spans="1:8" x14ac:dyDescent="0.5">
      <c r="A1555" s="3">
        <v>382</v>
      </c>
      <c r="B1555" s="3">
        <v>61</v>
      </c>
      <c r="C1555" s="3" t="str">
        <f t="shared" si="24"/>
        <v>Old</v>
      </c>
      <c r="D1555" t="s">
        <v>5</v>
      </c>
      <c r="E1555" t="s">
        <v>0</v>
      </c>
      <c r="F1555" s="1">
        <v>44928</v>
      </c>
      <c r="G1555" s="10">
        <v>93925.59</v>
      </c>
      <c r="H1555">
        <v>18</v>
      </c>
    </row>
    <row r="1556" spans="1:8" x14ac:dyDescent="0.5">
      <c r="A1556" s="3">
        <v>284</v>
      </c>
      <c r="B1556" s="3">
        <v>49</v>
      </c>
      <c r="C1556" s="3" t="str">
        <f t="shared" si="24"/>
        <v>Middle Age</v>
      </c>
      <c r="D1556" t="s">
        <v>5</v>
      </c>
      <c r="E1556" t="s">
        <v>0</v>
      </c>
      <c r="F1556" s="1">
        <v>45071</v>
      </c>
      <c r="G1556" s="10">
        <v>67074.62</v>
      </c>
      <c r="H1556">
        <v>25</v>
      </c>
    </row>
    <row r="1557" spans="1:8" x14ac:dyDescent="0.5">
      <c r="A1557" s="3">
        <v>86</v>
      </c>
      <c r="B1557" s="3">
        <v>50</v>
      </c>
      <c r="C1557" s="3" t="str">
        <f t="shared" si="24"/>
        <v>Middle Age</v>
      </c>
      <c r="D1557" t="s">
        <v>5</v>
      </c>
      <c r="E1557" t="s">
        <v>0</v>
      </c>
      <c r="F1557" s="1">
        <v>45130</v>
      </c>
      <c r="G1557" s="10">
        <v>75926.91</v>
      </c>
      <c r="H1557">
        <v>21</v>
      </c>
    </row>
    <row r="1558" spans="1:8" x14ac:dyDescent="0.5">
      <c r="A1558" s="3">
        <v>68</v>
      </c>
      <c r="B1558" s="3">
        <v>74</v>
      </c>
      <c r="C1558" s="3" t="str">
        <f t="shared" si="24"/>
        <v>Old</v>
      </c>
      <c r="D1558" t="s">
        <v>5</v>
      </c>
      <c r="E1558" t="s">
        <v>6</v>
      </c>
      <c r="F1558" s="1">
        <v>44984</v>
      </c>
      <c r="G1558" s="10">
        <v>26391.52</v>
      </c>
      <c r="H1558">
        <v>11</v>
      </c>
    </row>
    <row r="1559" spans="1:8" x14ac:dyDescent="0.5">
      <c r="A1559" s="3">
        <v>55</v>
      </c>
      <c r="B1559" s="3">
        <v>44</v>
      </c>
      <c r="C1559" s="3" t="str">
        <f t="shared" si="24"/>
        <v>Middle Age</v>
      </c>
      <c r="D1559" t="s">
        <v>3</v>
      </c>
      <c r="E1559" t="s">
        <v>6</v>
      </c>
      <c r="F1559" s="1">
        <v>45099</v>
      </c>
      <c r="G1559" s="10">
        <v>28077.37</v>
      </c>
      <c r="H1559">
        <v>1</v>
      </c>
    </row>
    <row r="1560" spans="1:8" x14ac:dyDescent="0.5">
      <c r="A1560" s="3">
        <v>23</v>
      </c>
      <c r="B1560" s="3">
        <v>61</v>
      </c>
      <c r="C1560" s="3" t="str">
        <f t="shared" si="24"/>
        <v>Old</v>
      </c>
      <c r="D1560" t="s">
        <v>3</v>
      </c>
      <c r="E1560" t="s">
        <v>2</v>
      </c>
      <c r="F1560" s="1">
        <v>45109</v>
      </c>
      <c r="G1560" s="10">
        <v>80183.45</v>
      </c>
      <c r="H1560">
        <v>17</v>
      </c>
    </row>
    <row r="1561" spans="1:8" x14ac:dyDescent="0.5">
      <c r="A1561" s="3">
        <v>414</v>
      </c>
      <c r="B1561" s="3">
        <v>90</v>
      </c>
      <c r="C1561" s="3" t="str">
        <f t="shared" si="24"/>
        <v>Old</v>
      </c>
      <c r="D1561" t="s">
        <v>3</v>
      </c>
      <c r="E1561" t="s">
        <v>6</v>
      </c>
      <c r="F1561" s="1">
        <v>45106</v>
      </c>
      <c r="G1561" s="10">
        <v>88716.73</v>
      </c>
      <c r="H1561">
        <v>4</v>
      </c>
    </row>
    <row r="1562" spans="1:8" x14ac:dyDescent="0.5">
      <c r="A1562" s="3">
        <v>298</v>
      </c>
      <c r="B1562" s="3">
        <v>80</v>
      </c>
      <c r="C1562" s="3" t="str">
        <f t="shared" si="24"/>
        <v>Old</v>
      </c>
      <c r="D1562" t="s">
        <v>3</v>
      </c>
      <c r="E1562" t="s">
        <v>0</v>
      </c>
      <c r="F1562" s="1">
        <v>45292</v>
      </c>
      <c r="G1562" s="10">
        <v>98390.43</v>
      </c>
      <c r="H1562">
        <v>24</v>
      </c>
    </row>
    <row r="1563" spans="1:8" x14ac:dyDescent="0.5">
      <c r="A1563" s="3">
        <v>164</v>
      </c>
      <c r="B1563" s="3">
        <v>28</v>
      </c>
      <c r="C1563" s="3" t="str">
        <f t="shared" si="24"/>
        <v>Young</v>
      </c>
      <c r="D1563" t="s">
        <v>3</v>
      </c>
      <c r="E1563" t="s">
        <v>0</v>
      </c>
      <c r="F1563" s="1">
        <v>45013</v>
      </c>
      <c r="G1563" s="10">
        <v>70833.070000000007</v>
      </c>
      <c r="H1563">
        <v>1</v>
      </c>
    </row>
    <row r="1564" spans="1:8" x14ac:dyDescent="0.5">
      <c r="A1564" s="3">
        <v>410</v>
      </c>
      <c r="B1564" s="3">
        <v>66</v>
      </c>
      <c r="C1564" s="3" t="str">
        <f t="shared" si="24"/>
        <v>Old</v>
      </c>
      <c r="D1564" t="s">
        <v>3</v>
      </c>
      <c r="E1564" t="s">
        <v>2</v>
      </c>
      <c r="F1564" s="1">
        <v>45256</v>
      </c>
      <c r="G1564" s="10">
        <v>54903.95</v>
      </c>
      <c r="H1564">
        <v>14</v>
      </c>
    </row>
    <row r="1565" spans="1:8" x14ac:dyDescent="0.5">
      <c r="A1565" s="3">
        <v>415</v>
      </c>
      <c r="B1565" s="3">
        <v>28</v>
      </c>
      <c r="C1565" s="3" t="str">
        <f t="shared" si="24"/>
        <v>Young</v>
      </c>
      <c r="D1565" t="s">
        <v>3</v>
      </c>
      <c r="E1565" t="s">
        <v>0</v>
      </c>
      <c r="F1565" s="1">
        <v>45249</v>
      </c>
      <c r="G1565" s="10">
        <v>36174.980000000003</v>
      </c>
      <c r="H1565">
        <v>2</v>
      </c>
    </row>
    <row r="1566" spans="1:8" x14ac:dyDescent="0.5">
      <c r="A1566" s="3">
        <v>265</v>
      </c>
      <c r="B1566" s="3">
        <v>66</v>
      </c>
      <c r="C1566" s="3" t="str">
        <f t="shared" si="24"/>
        <v>Old</v>
      </c>
      <c r="D1566" t="s">
        <v>3</v>
      </c>
      <c r="E1566" t="s">
        <v>1</v>
      </c>
      <c r="F1566" s="1">
        <v>45172</v>
      </c>
      <c r="G1566" s="10">
        <v>36507.67</v>
      </c>
      <c r="H1566">
        <v>19</v>
      </c>
    </row>
    <row r="1567" spans="1:8" x14ac:dyDescent="0.5">
      <c r="A1567" s="3">
        <v>23</v>
      </c>
      <c r="B1567" s="3">
        <v>32</v>
      </c>
      <c r="C1567" s="3" t="str">
        <f t="shared" si="24"/>
        <v>Middle Age</v>
      </c>
      <c r="D1567" t="s">
        <v>5</v>
      </c>
      <c r="E1567" t="s">
        <v>2</v>
      </c>
      <c r="F1567" s="1">
        <v>45325</v>
      </c>
      <c r="G1567" s="10">
        <v>41105.360000000001</v>
      </c>
      <c r="H1567">
        <v>4</v>
      </c>
    </row>
    <row r="1568" spans="1:8" x14ac:dyDescent="0.5">
      <c r="A1568" s="3">
        <v>327</v>
      </c>
      <c r="B1568" s="3">
        <v>28</v>
      </c>
      <c r="C1568" s="3" t="str">
        <f t="shared" si="24"/>
        <v>Young</v>
      </c>
      <c r="D1568" t="s">
        <v>5</v>
      </c>
      <c r="E1568" t="s">
        <v>0</v>
      </c>
      <c r="F1568" s="1">
        <v>45195</v>
      </c>
      <c r="G1568" s="10">
        <v>218.8</v>
      </c>
      <c r="H1568">
        <v>8</v>
      </c>
    </row>
    <row r="1569" spans="1:8" x14ac:dyDescent="0.5">
      <c r="A1569" s="3">
        <v>326</v>
      </c>
      <c r="B1569" s="3">
        <v>58</v>
      </c>
      <c r="C1569" s="3" t="str">
        <f t="shared" si="24"/>
        <v>Old</v>
      </c>
      <c r="D1569" t="s">
        <v>3</v>
      </c>
      <c r="E1569" t="s">
        <v>6</v>
      </c>
      <c r="F1569" s="1">
        <v>44945</v>
      </c>
      <c r="G1569" s="10">
        <v>28811.62</v>
      </c>
      <c r="H1569">
        <v>5</v>
      </c>
    </row>
    <row r="1570" spans="1:8" x14ac:dyDescent="0.5">
      <c r="A1570" s="3">
        <v>446</v>
      </c>
      <c r="B1570" s="3">
        <v>69</v>
      </c>
      <c r="C1570" s="3" t="str">
        <f t="shared" si="24"/>
        <v>Old</v>
      </c>
      <c r="D1570" t="s">
        <v>5</v>
      </c>
      <c r="E1570" t="s">
        <v>1</v>
      </c>
      <c r="F1570" s="1">
        <v>45231</v>
      </c>
      <c r="G1570" s="10">
        <v>60746.68</v>
      </c>
      <c r="H1570">
        <v>5</v>
      </c>
    </row>
    <row r="1571" spans="1:8" x14ac:dyDescent="0.5">
      <c r="A1571" s="3">
        <v>344</v>
      </c>
      <c r="B1571" s="3">
        <v>43</v>
      </c>
      <c r="C1571" s="3" t="str">
        <f t="shared" si="24"/>
        <v>Middle Age</v>
      </c>
      <c r="D1571" t="s">
        <v>5</v>
      </c>
      <c r="E1571" t="s">
        <v>2</v>
      </c>
      <c r="F1571" s="1">
        <v>45074</v>
      </c>
      <c r="G1571" s="10">
        <v>31457.11</v>
      </c>
      <c r="H1571">
        <v>15</v>
      </c>
    </row>
    <row r="1572" spans="1:8" x14ac:dyDescent="0.5">
      <c r="A1572" s="3">
        <v>289</v>
      </c>
      <c r="B1572" s="3">
        <v>69</v>
      </c>
      <c r="C1572" s="3" t="str">
        <f t="shared" si="24"/>
        <v>Old</v>
      </c>
      <c r="D1572" t="s">
        <v>5</v>
      </c>
      <c r="E1572" t="s">
        <v>2</v>
      </c>
      <c r="F1572" s="1">
        <v>44996</v>
      </c>
      <c r="G1572" s="10">
        <v>91756.49</v>
      </c>
      <c r="H1572">
        <v>6</v>
      </c>
    </row>
    <row r="1573" spans="1:8" x14ac:dyDescent="0.5">
      <c r="A1573" s="3">
        <v>172</v>
      </c>
      <c r="B1573" s="3">
        <v>65</v>
      </c>
      <c r="C1573" s="3" t="str">
        <f t="shared" si="24"/>
        <v>Old</v>
      </c>
      <c r="D1573" t="s">
        <v>5</v>
      </c>
      <c r="E1573" t="s">
        <v>6</v>
      </c>
      <c r="F1573" s="1">
        <v>45209</v>
      </c>
      <c r="G1573" s="10">
        <v>45622.95</v>
      </c>
      <c r="H1573">
        <v>8</v>
      </c>
    </row>
    <row r="1574" spans="1:8" x14ac:dyDescent="0.5">
      <c r="A1574" s="3">
        <v>174</v>
      </c>
      <c r="B1574" s="3">
        <v>28</v>
      </c>
      <c r="C1574" s="3" t="str">
        <f t="shared" si="24"/>
        <v>Young</v>
      </c>
      <c r="D1574" t="s">
        <v>5</v>
      </c>
      <c r="E1574" t="s">
        <v>0</v>
      </c>
      <c r="F1574" s="1">
        <v>45019</v>
      </c>
      <c r="G1574" s="10">
        <v>23914.67</v>
      </c>
      <c r="H1574">
        <v>8</v>
      </c>
    </row>
    <row r="1575" spans="1:8" x14ac:dyDescent="0.5">
      <c r="A1575" s="3">
        <v>480</v>
      </c>
      <c r="B1575" s="3">
        <v>66</v>
      </c>
      <c r="C1575" s="3" t="str">
        <f t="shared" si="24"/>
        <v>Old</v>
      </c>
      <c r="D1575" t="s">
        <v>3</v>
      </c>
      <c r="E1575" t="s">
        <v>6</v>
      </c>
      <c r="F1575" s="1">
        <v>45014</v>
      </c>
      <c r="G1575" s="10">
        <v>72121.789999999994</v>
      </c>
      <c r="H1575">
        <v>20</v>
      </c>
    </row>
    <row r="1576" spans="1:8" x14ac:dyDescent="0.5">
      <c r="A1576" s="3">
        <v>317</v>
      </c>
      <c r="B1576" s="3">
        <v>44</v>
      </c>
      <c r="C1576" s="3" t="str">
        <f t="shared" si="24"/>
        <v>Middle Age</v>
      </c>
      <c r="D1576" t="s">
        <v>3</v>
      </c>
      <c r="E1576" t="s">
        <v>2</v>
      </c>
      <c r="F1576" s="1">
        <v>45035</v>
      </c>
      <c r="G1576" s="10">
        <v>55507.99</v>
      </c>
      <c r="H1576">
        <v>0</v>
      </c>
    </row>
    <row r="1577" spans="1:8" x14ac:dyDescent="0.5">
      <c r="A1577" s="3">
        <v>171</v>
      </c>
      <c r="B1577" s="3">
        <v>78</v>
      </c>
      <c r="C1577" s="3" t="str">
        <f t="shared" si="24"/>
        <v>Old</v>
      </c>
      <c r="D1577" t="s">
        <v>5</v>
      </c>
      <c r="E1577" t="s">
        <v>2</v>
      </c>
      <c r="F1577" s="1">
        <v>45167</v>
      </c>
      <c r="G1577" s="10">
        <v>79832.52</v>
      </c>
      <c r="H1577">
        <v>16</v>
      </c>
    </row>
    <row r="1578" spans="1:8" x14ac:dyDescent="0.5">
      <c r="A1578" s="3">
        <v>261</v>
      </c>
      <c r="B1578" s="3">
        <v>83</v>
      </c>
      <c r="C1578" s="3" t="str">
        <f t="shared" si="24"/>
        <v>Old</v>
      </c>
      <c r="D1578" t="s">
        <v>3</v>
      </c>
      <c r="E1578" t="s">
        <v>6</v>
      </c>
      <c r="F1578" s="1">
        <v>44937</v>
      </c>
      <c r="G1578" s="10">
        <v>21563.24</v>
      </c>
      <c r="H1578">
        <v>3</v>
      </c>
    </row>
    <row r="1579" spans="1:8" x14ac:dyDescent="0.5">
      <c r="A1579" s="3">
        <v>251</v>
      </c>
      <c r="B1579" s="3">
        <v>81</v>
      </c>
      <c r="C1579" s="3" t="str">
        <f t="shared" si="24"/>
        <v>Old</v>
      </c>
      <c r="D1579" t="s">
        <v>3</v>
      </c>
      <c r="E1579" t="s">
        <v>0</v>
      </c>
      <c r="F1579" s="1">
        <v>45086</v>
      </c>
      <c r="G1579" s="10">
        <v>65723.11</v>
      </c>
      <c r="H1579">
        <v>15</v>
      </c>
    </row>
    <row r="1580" spans="1:8" x14ac:dyDescent="0.5">
      <c r="A1580" s="3">
        <v>70</v>
      </c>
      <c r="B1580" s="3">
        <v>47</v>
      </c>
      <c r="C1580" s="3" t="str">
        <f t="shared" si="24"/>
        <v>Middle Age</v>
      </c>
      <c r="D1580" t="s">
        <v>3</v>
      </c>
      <c r="E1580" t="s">
        <v>1</v>
      </c>
      <c r="F1580" s="1">
        <v>45149</v>
      </c>
      <c r="G1580" s="10">
        <v>51033.85</v>
      </c>
      <c r="H1580">
        <v>17</v>
      </c>
    </row>
    <row r="1581" spans="1:8" x14ac:dyDescent="0.5">
      <c r="A1581" s="3">
        <v>176</v>
      </c>
      <c r="B1581" s="3">
        <v>25</v>
      </c>
      <c r="C1581" s="3" t="str">
        <f t="shared" si="24"/>
        <v>Young</v>
      </c>
      <c r="D1581" t="s">
        <v>5</v>
      </c>
      <c r="E1581" t="s">
        <v>4</v>
      </c>
      <c r="F1581" s="1">
        <v>45045</v>
      </c>
      <c r="G1581" s="10">
        <v>33520.339999999997</v>
      </c>
      <c r="H1581">
        <v>20</v>
      </c>
    </row>
    <row r="1582" spans="1:8" x14ac:dyDescent="0.5">
      <c r="A1582" s="3">
        <v>56</v>
      </c>
      <c r="B1582" s="3">
        <v>33</v>
      </c>
      <c r="C1582" s="3" t="str">
        <f t="shared" si="24"/>
        <v>Middle Age</v>
      </c>
      <c r="D1582" t="s">
        <v>3</v>
      </c>
      <c r="E1582" t="s">
        <v>0</v>
      </c>
      <c r="F1582" s="1">
        <v>45098</v>
      </c>
      <c r="G1582" s="10">
        <v>30700.23</v>
      </c>
      <c r="H1582">
        <v>5</v>
      </c>
    </row>
    <row r="1583" spans="1:8" x14ac:dyDescent="0.5">
      <c r="A1583" s="3">
        <v>407</v>
      </c>
      <c r="B1583" s="3">
        <v>27</v>
      </c>
      <c r="C1583" s="3" t="str">
        <f t="shared" si="24"/>
        <v>Young</v>
      </c>
      <c r="D1583" t="s">
        <v>3</v>
      </c>
      <c r="E1583" t="s">
        <v>4</v>
      </c>
      <c r="F1583" s="1">
        <v>45219</v>
      </c>
      <c r="G1583" s="10">
        <v>58684.58</v>
      </c>
      <c r="H1583">
        <v>28</v>
      </c>
    </row>
    <row r="1584" spans="1:8" x14ac:dyDescent="0.5">
      <c r="A1584" s="3">
        <v>94</v>
      </c>
      <c r="B1584" s="3">
        <v>66</v>
      </c>
      <c r="C1584" s="3" t="str">
        <f t="shared" si="24"/>
        <v>Old</v>
      </c>
      <c r="D1584" t="s">
        <v>3</v>
      </c>
      <c r="E1584" t="s">
        <v>0</v>
      </c>
      <c r="F1584" s="1">
        <v>45321</v>
      </c>
      <c r="G1584" s="10">
        <v>40620.400000000001</v>
      </c>
      <c r="H1584">
        <v>2</v>
      </c>
    </row>
    <row r="1585" spans="1:8" x14ac:dyDescent="0.5">
      <c r="A1585" s="3">
        <v>384</v>
      </c>
      <c r="B1585" s="3">
        <v>90</v>
      </c>
      <c r="C1585" s="3" t="str">
        <f t="shared" si="24"/>
        <v>Old</v>
      </c>
      <c r="D1585" t="s">
        <v>3</v>
      </c>
      <c r="E1585" t="s">
        <v>6</v>
      </c>
      <c r="F1585" s="1">
        <v>45154</v>
      </c>
      <c r="G1585" s="10">
        <v>27834.63</v>
      </c>
      <c r="H1585">
        <v>7</v>
      </c>
    </row>
    <row r="1586" spans="1:8" x14ac:dyDescent="0.5">
      <c r="A1586" s="3">
        <v>153</v>
      </c>
      <c r="B1586" s="3">
        <v>78</v>
      </c>
      <c r="C1586" s="3" t="str">
        <f t="shared" si="24"/>
        <v>Old</v>
      </c>
      <c r="D1586" t="s">
        <v>3</v>
      </c>
      <c r="E1586" t="s">
        <v>6</v>
      </c>
      <c r="F1586" s="1">
        <v>45258</v>
      </c>
      <c r="G1586" s="10">
        <v>43892.98</v>
      </c>
      <c r="H1586">
        <v>6</v>
      </c>
    </row>
    <row r="1587" spans="1:8" x14ac:dyDescent="0.5">
      <c r="A1587" s="3">
        <v>469</v>
      </c>
      <c r="B1587" s="3">
        <v>24</v>
      </c>
      <c r="C1587" s="3" t="str">
        <f t="shared" si="24"/>
        <v>Young</v>
      </c>
      <c r="D1587" t="s">
        <v>5</v>
      </c>
      <c r="E1587" t="s">
        <v>0</v>
      </c>
      <c r="F1587" s="1">
        <v>45140</v>
      </c>
      <c r="G1587" s="10">
        <v>85629.18</v>
      </c>
      <c r="H1587">
        <v>8</v>
      </c>
    </row>
    <row r="1588" spans="1:8" x14ac:dyDescent="0.5">
      <c r="A1588" s="3">
        <v>213</v>
      </c>
      <c r="B1588" s="3">
        <v>27</v>
      </c>
      <c r="C1588" s="3" t="str">
        <f t="shared" si="24"/>
        <v>Young</v>
      </c>
      <c r="D1588" t="s">
        <v>3</v>
      </c>
      <c r="E1588" t="s">
        <v>2</v>
      </c>
      <c r="F1588" s="1">
        <v>45102</v>
      </c>
      <c r="G1588" s="10">
        <v>347.5</v>
      </c>
      <c r="H1588">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7:F52"/>
  <sheetViews>
    <sheetView topLeftCell="A40" zoomScaleNormal="100" workbookViewId="0">
      <selection activeCell="A49" sqref="A49:B52"/>
    </sheetView>
  </sheetViews>
  <sheetFormatPr defaultRowHeight="16.5" x14ac:dyDescent="0.5"/>
  <cols>
    <col min="1" max="1" width="13.90625" bestFit="1" customWidth="1"/>
    <col min="2" max="2" width="18.7265625" bestFit="1" customWidth="1"/>
    <col min="3" max="4" width="12.90625" bestFit="1" customWidth="1"/>
    <col min="5" max="8" width="20.26953125" customWidth="1"/>
    <col min="9" max="16" width="20.26953125" bestFit="1" customWidth="1"/>
    <col min="17" max="17" width="10.7265625" bestFit="1" customWidth="1"/>
    <col min="18" max="437" width="20.26953125" bestFit="1" customWidth="1"/>
    <col min="438" max="438" width="10.7265625" bestFit="1" customWidth="1"/>
  </cols>
  <sheetData>
    <row r="17" spans="1:6" x14ac:dyDescent="0.5">
      <c r="A17" t="s">
        <v>31</v>
      </c>
      <c r="B17" t="s">
        <v>18</v>
      </c>
    </row>
    <row r="18" spans="1:6" x14ac:dyDescent="0.5">
      <c r="A18">
        <v>256</v>
      </c>
      <c r="B18">
        <v>341</v>
      </c>
    </row>
    <row r="21" spans="1:6" x14ac:dyDescent="0.5">
      <c r="A21" s="4" t="s">
        <v>15</v>
      </c>
      <c r="B21" t="s">
        <v>20</v>
      </c>
    </row>
    <row r="22" spans="1:6" x14ac:dyDescent="0.5">
      <c r="A22" s="5" t="s">
        <v>0</v>
      </c>
      <c r="B22">
        <v>13.806451612903226</v>
      </c>
      <c r="E22" t="str">
        <f>A22</f>
        <v>Diabetes</v>
      </c>
      <c r="F22" s="3">
        <f>B22</f>
        <v>13.806451612903226</v>
      </c>
    </row>
    <row r="23" spans="1:6" x14ac:dyDescent="0.5">
      <c r="A23" s="5" t="s">
        <v>17</v>
      </c>
      <c r="B23">
        <v>13.806451612903226</v>
      </c>
      <c r="E23" t="str">
        <f t="shared" ref="E23:F24" si="0">A23</f>
        <v>Grand Total</v>
      </c>
      <c r="F23" s="3">
        <f t="shared" si="0"/>
        <v>13.806451612903226</v>
      </c>
    </row>
    <row r="24" spans="1:6" x14ac:dyDescent="0.5">
      <c r="E24">
        <f t="shared" si="0"/>
        <v>0</v>
      </c>
      <c r="F24" s="3">
        <f t="shared" si="0"/>
        <v>0</v>
      </c>
    </row>
    <row r="25" spans="1:6" x14ac:dyDescent="0.5">
      <c r="E25">
        <f t="shared" ref="E25:E26" si="1">A25</f>
        <v>0</v>
      </c>
      <c r="F25" s="3">
        <f t="shared" ref="F25:F26" si="2">B25</f>
        <v>0</v>
      </c>
    </row>
    <row r="26" spans="1:6" x14ac:dyDescent="0.5">
      <c r="E26">
        <f t="shared" si="1"/>
        <v>0</v>
      </c>
      <c r="F26" s="3">
        <f t="shared" si="2"/>
        <v>0</v>
      </c>
    </row>
    <row r="30" spans="1:6" x14ac:dyDescent="0.5">
      <c r="A30" s="4" t="s">
        <v>21</v>
      </c>
      <c r="B30" t="s">
        <v>19</v>
      </c>
    </row>
    <row r="31" spans="1:6" x14ac:dyDescent="0.5">
      <c r="A31" t="s">
        <v>33</v>
      </c>
      <c r="B31">
        <v>50441.499967845659</v>
      </c>
      <c r="D31" t="str">
        <f>A31</f>
        <v>2023</v>
      </c>
      <c r="E31">
        <f>B31</f>
        <v>50441.499967845659</v>
      </c>
    </row>
    <row r="32" spans="1:6" x14ac:dyDescent="0.5">
      <c r="A32" t="s">
        <v>22</v>
      </c>
      <c r="B32">
        <v>50868.722333333331</v>
      </c>
      <c r="D32" t="str">
        <f>A32</f>
        <v>2024</v>
      </c>
      <c r="E32">
        <f>B32</f>
        <v>50868.722333333331</v>
      </c>
    </row>
    <row r="33" spans="1:2" x14ac:dyDescent="0.5">
      <c r="A33" t="s">
        <v>17</v>
      </c>
      <c r="B33">
        <v>50479.085513196478</v>
      </c>
    </row>
    <row r="36" spans="1:2" x14ac:dyDescent="0.5">
      <c r="A36" s="4" t="s">
        <v>14</v>
      </c>
      <c r="B36" t="s">
        <v>18</v>
      </c>
    </row>
    <row r="37" spans="1:2" x14ac:dyDescent="0.5">
      <c r="A37" t="s">
        <v>34</v>
      </c>
      <c r="B37">
        <v>76</v>
      </c>
    </row>
    <row r="38" spans="1:2" x14ac:dyDescent="0.5">
      <c r="A38" t="s">
        <v>16</v>
      </c>
      <c r="B38">
        <v>165</v>
      </c>
    </row>
    <row r="39" spans="1:2" x14ac:dyDescent="0.5">
      <c r="A39" t="s">
        <v>35</v>
      </c>
      <c r="B39">
        <v>100</v>
      </c>
    </row>
    <row r="40" spans="1:2" x14ac:dyDescent="0.5">
      <c r="A40" t="s">
        <v>17</v>
      </c>
      <c r="B40">
        <v>341</v>
      </c>
    </row>
    <row r="43" spans="1:2" x14ac:dyDescent="0.5">
      <c r="A43" s="4" t="s">
        <v>21</v>
      </c>
      <c r="B43" t="s">
        <v>32</v>
      </c>
    </row>
    <row r="44" spans="1:2" x14ac:dyDescent="0.5">
      <c r="A44" t="s">
        <v>33</v>
      </c>
      <c r="B44">
        <v>15687306.49</v>
      </c>
    </row>
    <row r="45" spans="1:2" x14ac:dyDescent="0.5">
      <c r="A45" t="s">
        <v>22</v>
      </c>
      <c r="B45">
        <v>1526061.67</v>
      </c>
    </row>
    <row r="46" spans="1:2" x14ac:dyDescent="0.5">
      <c r="A46" t="s">
        <v>17</v>
      </c>
      <c r="B46">
        <v>17213368.16</v>
      </c>
    </row>
    <row r="49" spans="1:2" x14ac:dyDescent="0.5">
      <c r="A49" s="4" t="s">
        <v>9</v>
      </c>
      <c r="B49" t="s">
        <v>18</v>
      </c>
    </row>
    <row r="50" spans="1:2" x14ac:dyDescent="0.5">
      <c r="A50" t="s">
        <v>5</v>
      </c>
      <c r="B50">
        <v>165</v>
      </c>
    </row>
    <row r="51" spans="1:2" x14ac:dyDescent="0.5">
      <c r="A51" t="s">
        <v>3</v>
      </c>
      <c r="B51">
        <v>176</v>
      </c>
    </row>
    <row r="52" spans="1:2" x14ac:dyDescent="0.5">
      <c r="A52" t="s">
        <v>17</v>
      </c>
      <c r="B52">
        <v>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N14"/>
  <sheetViews>
    <sheetView showGridLines="0" showRowColHeaders="0" zoomScaleNormal="100" workbookViewId="0">
      <selection activeCell="S22" sqref="S22"/>
    </sheetView>
  </sheetViews>
  <sheetFormatPr defaultRowHeight="16.5" x14ac:dyDescent="0.5"/>
  <cols>
    <col min="1" max="1" width="8.7265625" style="6"/>
    <col min="2" max="16384" width="8.7265625" style="7"/>
  </cols>
  <sheetData>
    <row r="5" spans="2:14" ht="18.5" x14ac:dyDescent="0.55000000000000004">
      <c r="D5" s="12" t="s">
        <v>24</v>
      </c>
      <c r="E5" s="12"/>
      <c r="F5" s="12"/>
      <c r="G5" s="12"/>
      <c r="H5" s="12"/>
      <c r="I5" s="12"/>
      <c r="K5" s="12" t="s">
        <v>26</v>
      </c>
      <c r="L5" s="12"/>
      <c r="M5" s="12"/>
      <c r="N5" s="12"/>
    </row>
    <row r="6" spans="2:14" x14ac:dyDescent="0.5">
      <c r="D6" s="13" t="s">
        <v>23</v>
      </c>
      <c r="E6" s="13"/>
      <c r="F6" s="13"/>
      <c r="G6" s="13" t="s">
        <v>25</v>
      </c>
      <c r="H6" s="13"/>
      <c r="I6" s="13"/>
      <c r="K6" s="13" t="s">
        <v>10</v>
      </c>
      <c r="L6" s="13"/>
      <c r="M6" s="13" t="s">
        <v>27</v>
      </c>
      <c r="N6" s="13"/>
    </row>
    <row r="7" spans="2:14" x14ac:dyDescent="0.5">
      <c r="D7" s="14" t="str">
        <f>Report!D31</f>
        <v>2023</v>
      </c>
      <c r="E7" s="14"/>
      <c r="F7" s="14"/>
      <c r="G7" s="15">
        <f>Report!E31</f>
        <v>50441.499967845659</v>
      </c>
      <c r="H7" s="15"/>
      <c r="I7" s="15"/>
      <c r="K7" s="16" t="str">
        <f>Report!E22</f>
        <v>Diabetes</v>
      </c>
      <c r="L7" s="16"/>
      <c r="M7" s="17">
        <f>Report!F22</f>
        <v>13.806451612903226</v>
      </c>
      <c r="N7" s="16"/>
    </row>
    <row r="8" spans="2:14" x14ac:dyDescent="0.5">
      <c r="D8" s="14"/>
      <c r="E8" s="14"/>
      <c r="F8" s="14"/>
      <c r="G8" s="15"/>
      <c r="H8" s="15"/>
      <c r="I8" s="15"/>
      <c r="K8" s="16" t="str">
        <f>Report!E23</f>
        <v>Grand Total</v>
      </c>
      <c r="L8" s="16"/>
      <c r="M8" s="17">
        <f>Report!F23</f>
        <v>13.806451612903226</v>
      </c>
      <c r="N8" s="16"/>
    </row>
    <row r="9" spans="2:14" x14ac:dyDescent="0.5">
      <c r="D9" s="14"/>
      <c r="E9" s="14"/>
      <c r="F9" s="14"/>
      <c r="G9" s="15"/>
      <c r="H9" s="15"/>
      <c r="I9" s="15"/>
      <c r="K9" s="16">
        <f>Report!E24</f>
        <v>0</v>
      </c>
      <c r="L9" s="16"/>
      <c r="M9" s="17">
        <f>Report!F24</f>
        <v>0</v>
      </c>
      <c r="N9" s="16"/>
    </row>
    <row r="10" spans="2:14" x14ac:dyDescent="0.5">
      <c r="D10" s="14" t="str">
        <f>Report!D32</f>
        <v>2024</v>
      </c>
      <c r="E10" s="14"/>
      <c r="F10" s="14"/>
      <c r="G10" s="15">
        <f>Report!E32</f>
        <v>50868.722333333331</v>
      </c>
      <c r="H10" s="15"/>
      <c r="I10" s="15"/>
      <c r="K10" s="16">
        <f>Report!E25</f>
        <v>0</v>
      </c>
      <c r="L10" s="16"/>
      <c r="M10" s="17">
        <f>Report!F25</f>
        <v>0</v>
      </c>
      <c r="N10" s="16"/>
    </row>
    <row r="11" spans="2:14" x14ac:dyDescent="0.5">
      <c r="D11" s="14"/>
      <c r="E11" s="14"/>
      <c r="F11" s="14"/>
      <c r="G11" s="15"/>
      <c r="H11" s="15"/>
      <c r="I11" s="15"/>
      <c r="K11" s="16">
        <f>Report!E26</f>
        <v>0</v>
      </c>
      <c r="L11" s="16"/>
      <c r="M11" s="17">
        <f>Report!F26</f>
        <v>0</v>
      </c>
      <c r="N11" s="16"/>
    </row>
    <row r="12" spans="2:14" x14ac:dyDescent="0.5">
      <c r="D12" s="14"/>
      <c r="E12" s="14"/>
      <c r="F12" s="14"/>
      <c r="G12" s="15"/>
      <c r="H12" s="15"/>
      <c r="I12" s="15"/>
    </row>
    <row r="13" spans="2:14" x14ac:dyDescent="0.5">
      <c r="D13" s="8"/>
      <c r="E13" s="8"/>
      <c r="F13" s="8"/>
      <c r="G13" s="8"/>
      <c r="H13" s="9"/>
      <c r="I13" s="8"/>
    </row>
    <row r="14" spans="2:14" ht="18.5" x14ac:dyDescent="0.55000000000000004">
      <c r="B14" s="11" t="s">
        <v>28</v>
      </c>
      <c r="C14" s="11"/>
      <c r="D14" s="11"/>
      <c r="E14" s="11"/>
      <c r="F14" s="12" t="s">
        <v>30</v>
      </c>
      <c r="G14" s="12"/>
      <c r="H14" s="12"/>
      <c r="I14" s="12"/>
      <c r="J14" s="12"/>
      <c r="K14" s="12" t="s">
        <v>29</v>
      </c>
      <c r="L14" s="12"/>
      <c r="M14" s="12"/>
      <c r="N14" s="12"/>
    </row>
  </sheetData>
  <sheetProtection sheet="1" autoFilter="0" pivotTables="0"/>
  <mergeCells count="23">
    <mergeCell ref="M11:N11"/>
    <mergeCell ref="K6:L6"/>
    <mergeCell ref="M6:N6"/>
    <mergeCell ref="K7:L7"/>
    <mergeCell ref="K8:L8"/>
    <mergeCell ref="K9:L9"/>
    <mergeCell ref="K10:L10"/>
    <mergeCell ref="B14:E14"/>
    <mergeCell ref="F14:J14"/>
    <mergeCell ref="K14:N14"/>
    <mergeCell ref="D5:I5"/>
    <mergeCell ref="D6:F6"/>
    <mergeCell ref="G6:I6"/>
    <mergeCell ref="D7:F9"/>
    <mergeCell ref="D10:F12"/>
    <mergeCell ref="G7:I9"/>
    <mergeCell ref="G10:I12"/>
    <mergeCell ref="K5:N5"/>
    <mergeCell ref="K11:L11"/>
    <mergeCell ref="M7:N7"/>
    <mergeCell ref="M8:N8"/>
    <mergeCell ref="M9:N9"/>
    <mergeCell ref="M10:N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091BCBCF-42AC-4A2E-9F0B-EDBB77B63E6C}">
  <ds:schemaRefs/>
</ds:datastoreItem>
</file>

<file path=customXml/itemProps2.xml><?xml version="1.0" encoding="utf-8"?>
<ds:datastoreItem xmlns:ds="http://schemas.openxmlformats.org/officeDocument/2006/customXml" ds:itemID="{672BA1A0-8D44-4A88-ABCA-094DBD56D2D6}">
  <ds:schemaRefs/>
</ds:datastoreItem>
</file>

<file path=customXml/itemProps3.xml><?xml version="1.0" encoding="utf-8"?>
<ds:datastoreItem xmlns:ds="http://schemas.openxmlformats.org/officeDocument/2006/customXml" ds:itemID="{22A55A0F-A29B-42F8-8057-CB332BC1E1FA}">
  <ds:schemaRefs/>
</ds:datastoreItem>
</file>

<file path=customXml/itemProps4.xml><?xml version="1.0" encoding="utf-8"?>
<ds:datastoreItem xmlns:ds="http://schemas.openxmlformats.org/officeDocument/2006/customXml" ds:itemID="{91910E05-9BEF-4117-B984-39FDD10295BA}">
  <ds:schemaRefs/>
</ds:datastoreItem>
</file>

<file path=customXml/itemProps5.xml><?xml version="1.0" encoding="utf-8"?>
<ds:datastoreItem xmlns:ds="http://schemas.openxmlformats.org/officeDocument/2006/customXml" ds:itemID="{8ECF00C4-7469-4C52-BEBD-3AA262543329}">
  <ds:schemaRefs/>
</ds:datastoreItem>
</file>

<file path=customXml/itemProps6.xml><?xml version="1.0" encoding="utf-8"?>
<ds:datastoreItem xmlns:ds="http://schemas.openxmlformats.org/officeDocument/2006/customXml" ds:itemID="{388286A9-786B-42CF-83EE-73087AAA5519}">
  <ds:schemaRefs/>
</ds:datastoreItem>
</file>

<file path=customXml/itemProps7.xml><?xml version="1.0" encoding="utf-8"?>
<ds:datastoreItem xmlns:ds="http://schemas.openxmlformats.org/officeDocument/2006/customXml" ds:itemID="{CE80CB07-6286-42C6-B15C-B817CF627B5F}">
  <ds:schemaRefs/>
</ds:datastoreItem>
</file>

<file path=customXml/itemProps8.xml><?xml version="1.0" encoding="utf-8"?>
<ds:datastoreItem xmlns:ds="http://schemas.openxmlformats.org/officeDocument/2006/customXml" ds:itemID="{A7D34C94-434E-4339-B7E3-70C2933A27AD}">
  <ds:schemaRefs/>
</ds:datastoreItem>
</file>

<file path=customXml/itemProps9.xml><?xml version="1.0" encoding="utf-8"?>
<ds:datastoreItem xmlns:ds="http://schemas.openxmlformats.org/officeDocument/2006/customXml" ds:itemID="{8055D90D-FA68-4833-85A1-155A6F8D8746}">
  <ds:schemaRefs/>
</ds:datastoreItem>
</file>

<file path=customXml/itemProps10.xml><?xml version="1.0" encoding="utf-8"?>
<ds:datastoreItem xmlns:ds="http://schemas.openxmlformats.org/officeDocument/2006/customXml" ds:itemID="{2C3FD468-FC12-4739-960A-51D0F42AE7EC}">
  <ds:schemaRefs/>
</ds:datastoreItem>
</file>

<file path=customXml/itemProps11.xml><?xml version="1.0" encoding="utf-8"?>
<ds:datastoreItem xmlns:ds="http://schemas.openxmlformats.org/officeDocument/2006/customXml" ds:itemID="{6E3D00A2-E5AE-4FC5-8D73-ADD9121BB80B}">
  <ds:schemaRefs/>
</ds:datastoreItem>
</file>

<file path=customXml/itemProps12.xml><?xml version="1.0" encoding="utf-8"?>
<ds:datastoreItem xmlns:ds="http://schemas.openxmlformats.org/officeDocument/2006/customXml" ds:itemID="{A2C6D415-3332-4683-BB6B-85EFD30F5E51}">
  <ds:schemaRefs/>
</ds:datastoreItem>
</file>

<file path=customXml/itemProps13.xml><?xml version="1.0" encoding="utf-8"?>
<ds:datastoreItem xmlns:ds="http://schemas.openxmlformats.org/officeDocument/2006/customXml" ds:itemID="{B29B2F5A-6052-46A0-8B8D-279DC11C8E22}">
  <ds:schemaRefs/>
</ds:datastoreItem>
</file>

<file path=customXml/itemProps14.xml><?xml version="1.0" encoding="utf-8"?>
<ds:datastoreItem xmlns:ds="http://schemas.openxmlformats.org/officeDocument/2006/customXml" ds:itemID="{4331D0F2-3150-42F4-BD25-B1CAC508C512}">
  <ds:schemaRefs/>
</ds:datastoreItem>
</file>

<file path=customXml/itemProps15.xml><?xml version="1.0" encoding="utf-8"?>
<ds:datastoreItem xmlns:ds="http://schemas.openxmlformats.org/officeDocument/2006/customXml" ds:itemID="{115747DA-BF23-4C15-B2A7-B7A4909D3748}">
  <ds:schemaRefs/>
</ds:datastoreItem>
</file>

<file path=customXml/itemProps16.xml><?xml version="1.0" encoding="utf-8"?>
<ds:datastoreItem xmlns:ds="http://schemas.openxmlformats.org/officeDocument/2006/customXml" ds:itemID="{D1562325-7088-4234-A458-8F4588C3BB57}">
  <ds:schemaRefs/>
</ds:datastoreItem>
</file>

<file path=customXml/itemProps17.xml><?xml version="1.0" encoding="utf-8"?>
<ds:datastoreItem xmlns:ds="http://schemas.openxmlformats.org/officeDocument/2006/customXml" ds:itemID="{6359B305-B392-4439-95B7-2428CF0BE39A}">
  <ds:schemaRefs/>
</ds:datastoreItem>
</file>

<file path=customXml/itemProps18.xml><?xml version="1.0" encoding="utf-8"?>
<ds:datastoreItem xmlns:ds="http://schemas.openxmlformats.org/officeDocument/2006/customXml" ds:itemID="{76043D1B-46CE-4950-8CB4-30ABBE8FFA74}">
  <ds:schemaRefs/>
</ds:datastoreItem>
</file>

<file path=customXml/itemProps19.xml><?xml version="1.0" encoding="utf-8"?>
<ds:datastoreItem xmlns:ds="http://schemas.openxmlformats.org/officeDocument/2006/customXml" ds:itemID="{852FC6F6-B52C-410D-A87A-A99AC3F1BC59}">
  <ds:schemaRefs/>
</ds:datastoreItem>
</file>

<file path=customXml/itemProps20.xml><?xml version="1.0" encoding="utf-8"?>
<ds:datastoreItem xmlns:ds="http://schemas.openxmlformats.org/officeDocument/2006/customXml" ds:itemID="{EE5D1814-709C-451B-A81B-C9B39B935F56}">
  <ds:schemaRefs/>
</ds:datastoreItem>
</file>

<file path=customXml/itemProps21.xml><?xml version="1.0" encoding="utf-8"?>
<ds:datastoreItem xmlns:ds="http://schemas.openxmlformats.org/officeDocument/2006/customXml" ds:itemID="{5D0CFE30-FCCE-4A33-954E-D57073FDBCE2}">
  <ds:schemaRefs/>
</ds:datastoreItem>
</file>

<file path=customXml/itemProps22.xml><?xml version="1.0" encoding="utf-8"?>
<ds:datastoreItem xmlns:ds="http://schemas.openxmlformats.org/officeDocument/2006/customXml" ds:itemID="{C270933E-6289-40A6-8F56-31082AD27627}">
  <ds:schemaRefs/>
</ds:datastoreItem>
</file>

<file path=customXml/itemProps23.xml><?xml version="1.0" encoding="utf-8"?>
<ds:datastoreItem xmlns:ds="http://schemas.openxmlformats.org/officeDocument/2006/customXml" ds:itemID="{63549B78-0C54-4625-A999-95115CDAF2CF}">
  <ds:schemaRefs/>
</ds:datastoreItem>
</file>

<file path=customXml/itemProps24.xml><?xml version="1.0" encoding="utf-8"?>
<ds:datastoreItem xmlns:ds="http://schemas.openxmlformats.org/officeDocument/2006/customXml" ds:itemID="{EBA716E5-F8B3-42E1-9205-D0FA462E0EA7}">
  <ds:schemaRefs/>
</ds:datastoreItem>
</file>

<file path=customXml/itemProps25.xml><?xml version="1.0" encoding="utf-8"?>
<ds:datastoreItem xmlns:ds="http://schemas.openxmlformats.org/officeDocument/2006/customXml" ds:itemID="{E481589F-4829-4AE1-BE9E-91F81B495E4D}">
  <ds:schemaRefs/>
</ds:datastoreItem>
</file>

<file path=customXml/itemProps26.xml><?xml version="1.0" encoding="utf-8"?>
<ds:datastoreItem xmlns:ds="http://schemas.openxmlformats.org/officeDocument/2006/customXml" ds:itemID="{EBD14365-164A-4061-81BF-6750AA6D6498}">
  <ds:schemaRefs/>
</ds:datastoreItem>
</file>

<file path=customXml/itemProps27.xml><?xml version="1.0" encoding="utf-8"?>
<ds:datastoreItem xmlns:ds="http://schemas.openxmlformats.org/officeDocument/2006/customXml" ds:itemID="{AB98C598-6EB6-4D87-8690-F9EB4AE03690}">
  <ds:schemaRefs/>
</ds:datastoreItem>
</file>

<file path=customXml/itemProps28.xml><?xml version="1.0" encoding="utf-8"?>
<ds:datastoreItem xmlns:ds="http://schemas.openxmlformats.org/officeDocument/2006/customXml" ds:itemID="{D7E92A0F-5D51-4161-BB3D-BD65A41C210C}">
  <ds:schemaRefs/>
</ds:datastoreItem>
</file>

<file path=customXml/itemProps29.xml><?xml version="1.0" encoding="utf-8"?>
<ds:datastoreItem xmlns:ds="http://schemas.openxmlformats.org/officeDocument/2006/customXml" ds:itemID="{5E82953C-8205-4D73-87A5-605C799700EB}">
  <ds:schemaRefs/>
</ds:datastoreItem>
</file>

<file path=customXml/itemProps30.xml><?xml version="1.0" encoding="utf-8"?>
<ds:datastoreItem xmlns:ds="http://schemas.openxmlformats.org/officeDocument/2006/customXml" ds:itemID="{58523375-B30D-4A8A-82E0-CE847948AF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Diagnosis_dataset </vt:lpstr>
      <vt:lpstr>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DhennyMart</dc:creator>
  <cp:lastModifiedBy>DhennyMart</cp:lastModifiedBy>
  <dcterms:created xsi:type="dcterms:W3CDTF">2026-05-02T21:37:51Z</dcterms:created>
  <dcterms:modified xsi:type="dcterms:W3CDTF">2026-05-27T15:20:08Z</dcterms:modified>
</cp:coreProperties>
</file>